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PhuocNTB\Downloads\ai_driven\github-page\files\"/>
    </mc:Choice>
  </mc:AlternateContent>
  <xr:revisionPtr revIDLastSave="0" documentId="13_ncr:1_{070383B2-9F86-485A-8D6C-F8B0D000B36D}" xr6:coauthVersionLast="47" xr6:coauthVersionMax="47" xr10:uidLastSave="{00000000-0000-0000-0000-000000000000}"/>
  <bookViews>
    <workbookView xWindow="-110" yWindow="-110" windowWidth="29020" windowHeight="17500" xr2:uid="{00000000-000D-0000-FFFF-FFFF00000000}"/>
  </bookViews>
  <sheets>
    <sheet name="Tổng quan 26 tuần" sheetId="1" r:id="rId1"/>
    <sheet name="Thống kê thời lượng" sheetId="2" r:id="rId2"/>
    <sheet name="GĐ1 - Fullstack (7 tuần)" sheetId="3" r:id="rId3"/>
    <sheet name="GĐ2 - AI SDLC (12 tuần)" sheetId="4" r:id="rId4"/>
    <sheet name="GĐ3 - Capstone &amp; OJT (7 tuần)" sheetId="5" r:id="rId5"/>
    <sheet name="So sánh cũ - mới" sheetId="6" r:id="rId6"/>
  </sheets>
  <calcPr calcId="181029"/>
</workbook>
</file>

<file path=xl/calcChain.xml><?xml version="1.0" encoding="utf-8"?>
<calcChain xmlns="http://schemas.openxmlformats.org/spreadsheetml/2006/main">
  <c r="B32" i="2" l="1"/>
  <c r="B31" i="2"/>
  <c r="B30" i="2"/>
  <c r="D25" i="2"/>
  <c r="B25" i="2"/>
  <c r="B24" i="2"/>
  <c r="B23" i="2"/>
  <c r="E18" i="2"/>
  <c r="D18" i="2"/>
  <c r="C18" i="2"/>
  <c r="E17" i="2"/>
  <c r="D17" i="2"/>
  <c r="C17" i="2"/>
  <c r="E16" i="2"/>
  <c r="D16" i="2"/>
  <c r="C16" i="2"/>
  <c r="E15" i="2"/>
  <c r="D15" i="2"/>
  <c r="F15" i="2" s="1"/>
  <c r="C15" i="2"/>
  <c r="E14" i="2"/>
  <c r="D14" i="2"/>
  <c r="F14" i="2" s="1"/>
  <c r="C14" i="2"/>
  <c r="E13" i="2"/>
  <c r="D13" i="2"/>
  <c r="F13" i="2" s="1"/>
  <c r="C13" i="2"/>
  <c r="E12" i="2"/>
  <c r="E19" i="2" s="1"/>
  <c r="D12" i="2"/>
  <c r="C12" i="2"/>
  <c r="F17" i="2" l="1"/>
  <c r="G15" i="2"/>
  <c r="G13" i="2"/>
  <c r="F18" i="2"/>
  <c r="G16" i="2"/>
  <c r="G14" i="2"/>
  <c r="G18" i="2"/>
  <c r="G17" i="2"/>
  <c r="F16" i="2"/>
  <c r="B33" i="2"/>
  <c r="C32" i="2"/>
  <c r="D32" i="2" s="1"/>
  <c r="E32" i="2" s="1"/>
  <c r="F25" i="2"/>
  <c r="C25" i="2"/>
  <c r="E25" i="2" s="1"/>
  <c r="C31" i="2"/>
  <c r="D31" i="2" s="1"/>
  <c r="E31" i="2" s="1"/>
  <c r="F24" i="2"/>
  <c r="D24" i="2"/>
  <c r="C24" i="2"/>
  <c r="C30" i="2"/>
  <c r="B26" i="2"/>
  <c r="F23" i="2"/>
  <c r="F26" i="2" s="1"/>
  <c r="D19" i="2"/>
  <c r="F12" i="2"/>
  <c r="F19" i="2" s="1"/>
  <c r="C23" i="2" s="1"/>
  <c r="C19" i="2"/>
  <c r="D23" i="2" s="1"/>
  <c r="G12" i="2"/>
  <c r="D26" i="2" l="1"/>
  <c r="G19" i="2"/>
  <c r="D30" i="2"/>
  <c r="C33" i="2"/>
  <c r="E23" i="2"/>
  <c r="C26" i="2"/>
  <c r="E24" i="2"/>
  <c r="E26" i="2" l="1"/>
  <c r="E30" i="2"/>
  <c r="D33" i="2"/>
  <c r="E33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Đề xuất 6 tháng</author>
  </authors>
  <commentList>
    <comment ref="B5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File chương trình chưa ghi thời lượng GĐ2; lấy 3 giờ/buổi như GĐ1</t>
        </r>
      </text>
    </comment>
    <comment ref="B6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Tự học, Mentor, Giảng viên</t>
        </r>
      </text>
    </comment>
    <comment ref="B7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Buổi 2 và Buổi 3</t>
        </r>
      </text>
    </comment>
    <comment ref="B8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Giả định: 3 buổi gate/review x 3 giờ; chỉnh theo kế hoạch IOC</t>
        </r>
      </text>
    </comment>
  </commentList>
</comments>
</file>

<file path=xl/sharedStrings.xml><?xml version="1.0" encoding="utf-8"?>
<sst xmlns="http://schemas.openxmlformats.org/spreadsheetml/2006/main" count="743" uniqueCount="397">
  <si>
    <t>LỘ TRÌNH AI-DRIVEN SDLC 6 THÁNG (26 TUẦN)</t>
  </si>
  <si>
    <t>Bản đề xuất 30/10/2026 · GĐ1 7 tuần + GĐ2 12 tuần + GĐ3 Capstone &amp; OJT 7 tuần</t>
  </si>
  <si>
    <t>Tuần</t>
  </si>
  <si>
    <t>Giai đoạn</t>
  </si>
  <si>
    <t>Module / Sprint</t>
  </si>
  <si>
    <t>Chủ đề</t>
  </si>
  <si>
    <t>Thi</t>
  </si>
  <si>
    <t>Gộp từ lộ trình cũ</t>
  </si>
  <si>
    <t>GĐ1 · Fullstack nền tảng</t>
  </si>
  <si>
    <t>Git + HTML/CSS Responsive</t>
  </si>
  <si>
    <t>GĐ1 cũ T1 + T2</t>
  </si>
  <si>
    <t>JavaScript ES6+ &amp; Async/Fetch API</t>
  </si>
  <si>
    <t>GĐ1 cũ T3 + T4 (bỏ phần fetch bị lặp)</t>
  </si>
  <si>
    <t>React: Component, Props, State, Hooks</t>
  </si>
  <si>
    <t>GĐ1 cũ T5 + useEffect của T6</t>
  </si>
  <si>
    <t>React: Forms, Context, Routing</t>
  </si>
  <si>
    <t>GĐ1 cũ T6</t>
  </si>
  <si>
    <t>Node.js + Express REST API</t>
  </si>
  <si>
    <t>GĐ1 cũ T7</t>
  </si>
  <si>
    <t>Database với Sequelize</t>
  </si>
  <si>
    <t>GĐ1 cũ T8 (Auth chuyển sang GĐ2 tuần 14)</t>
  </si>
  <si>
    <t>Tích hợp + Thi cuối Giai đoạn 1</t>
  </si>
  <si>
    <t>GĐ1 cũ T10</t>
  </si>
  <si>
    <t>GĐ2 · AI-Driven SDLC</t>
  </si>
  <si>
    <t>M1 · AI-assisted Programming</t>
  </si>
  <si>
    <t>AI SDLC toàn cảnh + Workspace &amp; Memory</t>
  </si>
  <si>
    <t>GĐ2 cũ T1 + T2</t>
  </si>
  <si>
    <t>AGENTS.md, Governance, MCP + Thi Phase I</t>
  </si>
  <si>
    <t>GĐ2 cũ T3</t>
  </si>
  <si>
    <t>M2 · Spec-first SE</t>
  </si>
  <si>
    <t>Requirement, MoSCoW + User Story &amp; AC</t>
  </si>
  <si>
    <t>GĐ2 cũ T4 + T5</t>
  </si>
  <si>
    <t>Wireframe + Database Contract &amp; ERD</t>
  </si>
  <si>
    <t>GĐ2 cũ T5 + T6</t>
  </si>
  <si>
    <t>API contract, Traceability, Plan, ADR + Thi Phase II</t>
  </si>
  <si>
    <t>GĐ2 cũ T7 (thêm ADR)</t>
  </si>
  <si>
    <t>M3 · Agentic Fullstack</t>
  </si>
  <si>
    <t>TDD + Git workflow + Task contract</t>
  </si>
  <si>
    <t>GĐ2 cũ T8 + T9</t>
  </si>
  <si>
    <t>Backend qua agent + DB + Auth</t>
  </si>
  <si>
    <t>GĐ2 cũ T9 + T10, GĐ1 cũ T9</t>
  </si>
  <si>
    <t>Frontend + Tích hợp fullstack + E2E</t>
  </si>
  <si>
    <t>GĐ2 cũ T11 + T12</t>
  </si>
  <si>
    <t>Diff review, Refactor + Thi Phase III</t>
  </si>
  <si>
    <t>GĐ2 cũ T13</t>
  </si>
  <si>
    <t>M4 · Security, DevOps, Cloud</t>
  </si>
  <si>
    <t>Debug, Self-healing + Security &amp; Legal/IP</t>
  </si>
  <si>
    <t>GĐ2 cũ T14 + T15</t>
  </si>
  <si>
    <t>Docker, CI, AI review gate + Deploy cloud</t>
  </si>
  <si>
    <t>GĐ2 cũ T16 + T17</t>
  </si>
  <si>
    <t>Observability, Maintenance + Thi Phase IV</t>
  </si>
  <si>
    <t>GĐ2 cũ T17 + T18 (bỏ tuần thi riêng)</t>
  </si>
  <si>
    <t>GĐ3 · Capstone &amp; OJT (IOC)</t>
  </si>
  <si>
    <t>Kickoff · Gate M0–M1</t>
  </si>
  <si>
    <t>Proposal, scope, AI usage policy, team agreement</t>
  </si>
  <si>
    <t>M5 cũ T19</t>
  </si>
  <si>
    <t>Sprint 1 · Backend · Gate M2</t>
  </si>
  <si>
    <t>Triển khai backend + integration test qua agent</t>
  </si>
  <si>
    <t>M5 cũ T20</t>
  </si>
  <si>
    <t>Sprint 2 · Frontend · Gate M3</t>
  </si>
  <si>
    <t>Frontend + fullstack flow + E2E</t>
  </si>
  <si>
    <t>M5 cũ T21</t>
  </si>
  <si>
    <t>Sprint 3 · Hardening · Gate M4–M6</t>
  </si>
  <si>
    <t>Diff review/refactor, security, Docker/CI, deploy release v1.0</t>
  </si>
  <si>
    <t>M5 cũ T22</t>
  </si>
  <si>
    <t>Brownfield 1</t>
  </si>
  <si>
    <t>Nhận codebase của nhóm khác</t>
  </si>
  <si>
    <t>OJT cũ</t>
  </si>
  <si>
    <t>Brownfield 2</t>
  </si>
  <si>
    <t>Thực hiện change request + sửa bug</t>
  </si>
  <si>
    <t>Defense · Gate M7</t>
  </si>
  <si>
    <t>README tiếng Anh, demo, slide</t>
  </si>
  <si>
    <t>M5 cũ T23 + OJT cũ</t>
  </si>
  <si>
    <t>THỐNG KÊ THỜI LƯỢNG</t>
  </si>
  <si>
    <t>Ô vàng là giả định, có thể chỉnh; các ô còn lại tự tính theo công thức</t>
  </si>
  <si>
    <t>GIẢ ĐỊNH</t>
  </si>
  <si>
    <t>Giờ mỗi buổi GĐ2</t>
  </si>
  <si>
    <t>File chương trình chưa ghi thời lượng GĐ2; lấy 3 giờ/buổi như GĐ1</t>
  </si>
  <si>
    <t>Số buổi mỗi tuần GĐ2</t>
  </si>
  <si>
    <t>Tự học, Mentor, Giảng viên</t>
  </si>
  <si>
    <t>Số buổi có Mentor/GV mỗi tuần GĐ2</t>
  </si>
  <si>
    <t>Buổi 2 và Buổi 3</t>
  </si>
  <si>
    <t>Giờ có mentor mỗi tuần GĐ3</t>
  </si>
  <si>
    <t>Giả định: 3 buổi gate/review x 3 giờ; chỉnh theo kế hoạch IOC</t>
  </si>
  <si>
    <t>GĐ1: THỜI LƯỢNG THEO TUẦN</t>
  </si>
  <si>
    <t>Tự học trước (phút)</t>
  </si>
  <si>
    <t>Buổi 1 (phút)</t>
  </si>
  <si>
    <t>Buổi 2 (phút)</t>
  </si>
  <si>
    <t>Trên lớp (giờ)</t>
  </si>
  <si>
    <t>Tổng gồm tự học (giờ)</t>
  </si>
  <si>
    <t>Tổng GĐ1</t>
  </si>
  <si>
    <t>TỔNG HỢP TOÀN KHÓA</t>
  </si>
  <si>
    <t>Số tuần</t>
  </si>
  <si>
    <t>Giờ có GV/Mentor</t>
  </si>
  <si>
    <t>Giờ tự học</t>
  </si>
  <si>
    <t>Tổng giờ</t>
  </si>
  <si>
    <t>Số tháng (≈)</t>
  </si>
  <si>
    <t>GĐ2 · AI-Driven SDLC (M1–M4)</t>
  </si>
  <si>
    <t>GĐ3 · Capstone &amp; OJT</t>
  </si>
  <si>
    <t>Tổng</t>
  </si>
  <si>
    <t>SO SÁNH VỚI LỘ TRÌNH CŨ</t>
  </si>
  <si>
    <t>Phần</t>
  </si>
  <si>
    <t>Lộ trình cũ (tuần)</t>
  </si>
  <si>
    <t>Đề xuất (tuần)</t>
  </si>
  <si>
    <t>Chênh lệch (tuần)</t>
  </si>
  <si>
    <t>% giảm</t>
  </si>
  <si>
    <t>Fullstack nền tảng</t>
  </si>
  <si>
    <t>AI-SDLC Module 1–4</t>
  </si>
  <si>
    <t>Capstone &amp; OJT</t>
  </si>
  <si>
    <t>Ghi chú: Số tháng tính theo 52/12 ≈ 4,33 tuần/tháng. GĐ1 cũ ghi 60 giờ nhưng chỉ 39,5 giờ có kế hoạch chi tiết.</t>
  </si>
  <si>
    <t>GIAI ĐOẠN 1: FULLSTACK WEB DEVELOPMENT (7 TUẦN)</t>
  </si>
  <si>
    <t>Flipped classroom: tự học trước ~45 phút + Buổi 1 (3 giờ) + Buổi 2 (3 giờ) mỗi tuần</t>
  </si>
  <si>
    <t>Buổi</t>
  </si>
  <si>
    <t>Hoạt động / Nội dung</t>
  </si>
  <si>
    <t>Phút</t>
  </si>
  <si>
    <t>Ghi chú</t>
  </si>
  <si>
    <t>Mục tiêu</t>
  </si>
  <si>
    <t>Thiết lập môi trường, nắm Git workflow và dựng UI tĩnh Blog responsive</t>
  </si>
  <si>
    <t>Gộp từ: GĐ1 cũ T1 + T2</t>
  </si>
  <si>
    <t>Pre-class</t>
  </si>
  <si>
    <t>Video: Cài đặt môi trường (Node.js, VS Code, Git) &amp; Git cơ bản</t>
  </si>
  <si>
    <t>Cài đặt chuyển hẳn sang e-learning</t>
  </si>
  <si>
    <t>Video: HTML5 semantic, Flexbox &amp; Grid</t>
  </si>
  <si>
    <t>header, nav, main, article; layout</t>
  </si>
  <si>
    <t>Reading: Git cheat sheet + BEM naming</t>
  </si>
  <si>
    <t>Các lệnh thường dùng, Block-Element-Modifier</t>
  </si>
  <si>
    <t>Quiz: Git, HTML/CSS</t>
  </si>
  <si>
    <t>8 câu trắc nghiệm</t>
  </si>
  <si>
    <t>Buổi 1</t>
  </si>
  <si>
    <t>Q&amp;A từ pre-class</t>
  </si>
  <si>
    <t>Giải đáp thắc mắc</t>
  </si>
  <si>
    <t>Tổng hợp kiến thức: Git workflow &amp; layout</t>
  </si>
  <si>
    <t>Branch, PR, conventional commit; Flexbox vs Grid</t>
  </si>
  <si>
    <t>Case study</t>
  </si>
  <si>
    <t>"Workspace lộn xộn → Git conflict hàng loạt"</t>
  </si>
  <si>
    <t>Workshop + Lab 1.1</t>
  </si>
  <si>
    <t>Tạo repo chuẩn, branch, commit, Pull Request</t>
  </si>
  <si>
    <t>Buổi 2</t>
  </si>
  <si>
    <t>Briefing bài lab</t>
  </si>
  <si>
    <t>Yêu cầu Lab 1.2</t>
  </si>
  <si>
    <t>Lab 1.2 có hướng dẫn</t>
  </si>
  <si>
    <t>Blog UI: Header, Sidebar, Main, Footer + responsive</t>
  </si>
  <si>
    <t>Review, chấm nhanh, preview tuần sau</t>
  </si>
  <si>
    <t>Nhận xét, preview JS ES6+</t>
  </si>
  <si>
    <t>Đầu ra</t>
  </si>
  <si>
    <t>✓ Repo GitHub, cấu trúc chuẩn (source/, docs/), .gitignore đúng
✓ ≥3 commit conventional, 1 branch feature merge qua Pull Request
✓ Blog UI: header, sidebar, post list, post detail, footer
✓ Responsive 320px / 768px / 1024px, đặt tên class theo BEM</t>
  </si>
  <si>
    <t>Nắm JavaScript hiện đại và kết nối UI với API qua service layer</t>
  </si>
  <si>
    <t>Gộp từ: GĐ1 cũ T3 + T4 (bỏ phần fetch bị lặp)</t>
  </si>
  <si>
    <t>Video: ES6+ (let/const, arrow, destructuring, spread, modules)</t>
  </si>
  <si>
    <t>Video: Promise, async/await, REST &amp; Fetch API</t>
  </si>
  <si>
    <t>Methods, status codes, xử lý lỗi</t>
  </si>
  <si>
    <t>Reading: Service layer pattern</t>
  </si>
  <si>
    <t>Tách API logic khỏi giao diện</t>
  </si>
  <si>
    <t>Quiz: ES6 &amp; API</t>
  </si>
  <si>
    <t>8 câu</t>
  </si>
  <si>
    <t>Tổng hợp kiến thức: array methods, async, REST</t>
  </si>
  <si>
    <t>"API trả 200 nhưng data rỗng": debug case</t>
  </si>
  <si>
    <t>Workshop + Lab 2.1</t>
  </si>
  <si>
    <t>map, filter, reduce, find trên dữ liệu posts</t>
  </si>
  <si>
    <t>Lab 2.2 có hướng dẫn</t>
  </si>
  <si>
    <t>json-server + api.js, nối Blog UI với API</t>
  </si>
  <si>
    <t>Preview React</t>
  </si>
  <si>
    <t>✓ Array methods: map, filter, reduce, find, some, every
✓ async/await với try-catch, ES Modules import/export
✓ json-server chạy với posts.json; service layer api.js
✓ Loading / Error (có nút retry) / Empty state cho PostList, PostDetail, Search</t>
  </si>
  <si>
    <t>Chuyển Blog sang React, nắm Component, Props, State và useEffect</t>
  </si>
  <si>
    <t>Gộp từ: GĐ1 cũ T5 + useEffect của T6</t>
  </si>
  <si>
    <t>Video: Tạo project React với Vite</t>
  </si>
  <si>
    <t>Video: Components &amp; Props</t>
  </si>
  <si>
    <t>Functional components</t>
  </si>
  <si>
    <t>Video: useState &amp; useEffect</t>
  </si>
  <si>
    <t>State, side effects, cleanup</t>
  </si>
  <si>
    <t>Reading: Thinking in React</t>
  </si>
  <si>
    <t>Chia component, đặt state ở đâu</t>
  </si>
  <si>
    <t>Quiz: React basics</t>
  </si>
  <si>
    <t>Tổng hợp kiến thức: component tree, data flow</t>
  </si>
  <si>
    <t>"Khi nào dùng State, khi nào dùng Props?"</t>
  </si>
  <si>
    <t>Workshop + Lab 3.1</t>
  </si>
  <si>
    <t>Tách Blog thành Header, PostList, PostCard, PostDetail</t>
  </si>
  <si>
    <t>Lab 3.2 có hướng dẫn</t>
  </si>
  <si>
    <t>useState, useEffect fetch posts, custom hook usePosts</t>
  </si>
  <si>
    <t>✓ Project React (Vite) blog-app chạy được
✓ Components: Header, PostList, PostCard, PostDetail; truyền props đúng
✓ useEffect fetch posts khi mount, có cleanup
✓ Custom hook usePosts; dùng được React DevTools</t>
  </si>
  <si>
    <t>Xây form có validation, quản lý state toàn cục và điều hướng trang</t>
  </si>
  <si>
    <t>Gộp từ: GĐ1 cũ T6</t>
  </si>
  <si>
    <t>Video: Form handling &amp; validation</t>
  </si>
  <si>
    <t>Controlled inputs</t>
  </si>
  <si>
    <t>Video: useContext cho global state</t>
  </si>
  <si>
    <t>Auth, Theme context</t>
  </si>
  <si>
    <t>Video: React Router</t>
  </si>
  <si>
    <t>Routes, params, navigate</t>
  </si>
  <si>
    <t>Reading: Checklist validation phía client</t>
  </si>
  <si>
    <t>Quiz: Forms &amp; Context</t>
  </si>
  <si>
    <t>Tổng hợp kiến thức: form state, context, router</t>
  </si>
  <si>
    <t>"Form đẹp nhưng validation sai"</t>
  </si>
  <si>
    <t>Workshop + Lab 4.1</t>
  </si>
  <si>
    <t>Form CreatePost, Login có validation</t>
  </si>
  <si>
    <t>Lab 4.2 có hướng dẫn</t>
  </si>
  <si>
    <t>AuthContext + Router: /posts, /posts/:id, /login</t>
  </si>
  <si>
    <t>Preview Node/Express</t>
  </si>
  <si>
    <t>✓ Form CreatePost (title, content, category), Login (email, password)
✓ Validation: required, email format, min length; lỗi hiển thị inline
✓ Submit state: loading, success, error
✓ AuthContext dùng được ở nhiều trang; routing PostList / PostDetail / Login</t>
  </si>
  <si>
    <t>Xây REST API thật với Node.js và Express</t>
  </si>
  <si>
    <t>Gộp từ: GĐ1 cũ T7</t>
  </si>
  <si>
    <t>Video: Node.js &amp; Express setup</t>
  </si>
  <si>
    <t>Video: RESTful routes, CRUD endpoints</t>
  </si>
  <si>
    <t>Video: Middleware (logger, error handler, CORS)</t>
  </si>
  <si>
    <t>Reading: Quy ước REST &amp; status code</t>
  </si>
  <si>
    <t>Quiz: Express</t>
  </si>
  <si>
    <t>Tổng hợp kiến thức: routing, middleware chain</t>
  </si>
  <si>
    <t>"API chạy được nhưng không chuẩn REST"</t>
  </si>
  <si>
    <t>Workshop + Lab 5.1</t>
  </si>
  <si>
    <t>Express server + CRUD /api/posts</t>
  </si>
  <si>
    <t>Lab 5.2 có hướng dẫn</t>
  </si>
  <si>
    <t>Middleware, request validation, test bằng Postman</t>
  </si>
  <si>
    <t>✓ Express server chạy port 3000
✓ GET/POST/PUT/DELETE /api/posts đúng chuẩn REST
✓ Middleware: logger, error handler, CORS; request validation
✓ Status code 200/201/400/404/500; response { success, data, error }; test Postman</t>
  </si>
  <si>
    <t>Kết nối API với database: ORM, quan hệ, migration, seed</t>
  </si>
  <si>
    <t>Gộp từ: GĐ1 cũ T8 (Auth chuyển sang GĐ2 tuần 14)</t>
  </si>
  <si>
    <t>Video: SQL &amp; SQLite/PostgreSQL cơ bản</t>
  </si>
  <si>
    <t>Video: Sequelize models &amp; associations</t>
  </si>
  <si>
    <t>Video: Migration &amp; seed</t>
  </si>
  <si>
    <t>Reading: Checklist thiết kế bảng</t>
  </si>
  <si>
    <t>Khóa, ràng buộc, index</t>
  </si>
  <si>
    <t>Quiz: Database</t>
  </si>
  <si>
    <t>Tổng hợp kiến thức: 1-N, N-N, migration</t>
  </si>
  <si>
    <t>"AI thiết kế DB sai: làm sao phát hiện?"</t>
  </si>
  <si>
    <t>Workshop + Lab 6.1</t>
  </si>
  <si>
    <t>Models User, Post, Comment, Category + associations</t>
  </si>
  <si>
    <t>Lab 6.2 có hướng dẫn</t>
  </si>
  <si>
    <t>Migration, seed, nối API với DB, React gọi API thật</t>
  </si>
  <si>
    <t>Ôn tập trước tuần thi</t>
  </si>
  <si>
    <t>✓ SQLite blog.db; models User, Post, Comment, Category
✓ User 1-N Post, Post 1-N Comment, Post N-N Category
✓ Migration + seed (3 users, 10 posts, 20 comments)
✓ API đọc/ghi DB; React frontend hiển thị dữ liệu thật</t>
  </si>
  <si>
    <t>Tích hợp toàn bộ Blog fullstack và thi thực hành đánh giá</t>
  </si>
  <si>
    <t>Gộp từ: GĐ1 cũ T10</t>
  </si>
  <si>
    <t>Briefing &amp; ôn tập tổng thể</t>
  </si>
  <si>
    <t>Lab 7.1 tích hợp</t>
  </si>
  <si>
    <t>Kết nối React frontend với Node.js backend</t>
  </si>
  <si>
    <t>Debug</t>
  </si>
  <si>
    <t>Fix integration issues</t>
  </si>
  <si>
    <t>Buổi 2 (Thi)</t>
  </si>
  <si>
    <t>Thi thực hành: Frontend</t>
  </si>
  <si>
    <t>Thêm feature mới vào Blog React</t>
  </si>
  <si>
    <t>Thi thực hành: Backend</t>
  </si>
  <si>
    <t>Viết API endpoint mới</t>
  </si>
  <si>
    <t>Thi thực hành: Database</t>
  </si>
  <si>
    <t>Tạo model mới, viết migration</t>
  </si>
  <si>
    <t>Thi thực hành: Git &amp; giải thích code</t>
  </si>
  <si>
    <t>Commit, PR, review comment, giải thích lựa chọn</t>
  </si>
  <si>
    <t>Chấm điểm</t>
  </si>
  <si>
    <t>✓ Tiêu chí: Code hoạt động 40%
✓ Git workflow đúng 20%
✓ Giải thích được code và lựa chọn kỹ thuật 20%
✓ Code quality 20%</t>
  </si>
  <si>
    <t>GIAI ĐOẠN 2: AI-DRIVEN SOFTWARE DEVELOPMENT LIFE CYCLE (12 TUẦN)</t>
  </si>
  <si>
    <t>3 buổi/tuần: Buổi 1 tự học · Buổi 2 Mentor (demo + giao bài) · Buổi 3 Giảng viên (đề tài + review)</t>
  </si>
  <si>
    <t>Module</t>
  </si>
  <si>
    <t>Buổi 1: Tự học (3h)</t>
  </si>
  <si>
    <t>Buổi 2: Mentor (3h)</t>
  </si>
  <si>
    <t>Buổi 3: Giảng viên (3h)</t>
  </si>
  <si>
    <t>Toàn cảnh AI SDLC; assisted / agentic / vibe / human-controlled; chi phí &amp; chọn model; hallucination; workspace, external memory (Obsidian), context pollution, memory hygiene</t>
  </si>
  <si>
    <t>Demo phân tích 1 task có/không AI; demo setup workspace + vault Obsidian; giao bài</t>
  </si>
  <si>
    <t>So sánh SDLC truyền thống vs agentic; live case AI sai bảo mật; thiết lập workspace kiểm soát trên project nhiễu</t>
  </si>
  <si>
    <t>task-analysis.md, model-cost-note.md, workspace-setup.md, memory-map.md</t>
  </si>
  <si>
    <t>AGENTS.md, prompt/review log; thiết kế &amp; phân rã task; MCP least-privilege, đa agent; hallucination checklist</t>
  </si>
  <si>
    <t>Demo viết AGENTS.md + giao task cho agent; mock exam &amp; rà evidence</t>
  </si>
  <si>
    <t>Giao task agent, review output, mini-defense + THI THỰC HÀNH PHASE I</t>
  </si>
  <si>
    <t>AGENTS.md, prompt-log, review-log, hallucination-checklist</t>
  </si>
  <si>
    <t>FR/NFR/business rule/constraint; MoSCoW; 3C, INVEST, Gherkin, DoR/DoD; PII checklist</t>
  </si>
  <si>
    <t>Demo chuẩn hóa requirement + viết story/AC bằng AI; giao bài</t>
  </si>
  <si>
    <t>Phân loại, ưu tiên, mask PII trên case thật; viết story + AC; review clinic</t>
  </si>
  <si>
    <t>requirements.md, moscow-priority.md, user-stories.md (AC Gherkin), pii-checklist</t>
  </si>
  <si>
    <t>Lo-fi wireframe, screen list; entity, PK/FK, quan hệ, constraint, migration/seed</t>
  </si>
  <si>
    <t>Demo dựng wireframe bằng AI + dựng ERD; giao bài</t>
  </si>
  <si>
    <t>PO duyệt wireframe (sign-off); thiết kế ERD ≥5 bảng; review clinic lỗi DB</t>
  </si>
  <si>
    <t>wireframe, screen-list, erd, database-design.md</t>
  </si>
  <si>
    <t>REST spec, error model, traceability matrix; ADR; lập plan từ spec (backlog + slice)</t>
  </si>
  <si>
    <t>Demo API spec + ADR + implementation plan; mock spec review</t>
  </si>
  <si>
    <t>Thiết kế API + traceability; chốt plan + THI THỰC HÀNH PHASE II</t>
  </si>
  <si>
    <t>api-spec (OpenAPI), error-model, traceability-matrix, ADR, implementation-plan</t>
  </si>
  <si>
    <t>Test-first, TDD, unit/integration/E2E; mutation testing cơ bản; branch-per-task, PR, revert; task contract</t>
  </si>
  <si>
    <t>Demo test skeleton + PR/revert + task contract; giao bài</t>
  </si>
  <si>
    <t>AC → test; dựng Git workflow; revert 1 thay đổi agent sai; chạy mutation test trên 1 module; TDD clinic</t>
  </si>
  <si>
    <t>test-cases, git-workflow.md, task-contract.md, mutation-report (mini)</t>
  </si>
  <si>
    <t>Controller-Service-Repository, DTO, validation; DB integration; JWT auth, permission; integration test</t>
  </si>
  <si>
    <t>Demo giao task backend cho agent + viết integration test</t>
  </si>
  <si>
    <t>Triển khai backend feature + auth qua agent; review &amp; refactor; clinic</t>
  </si>
  <si>
    <t>Backend feature + auth, integration test pass, review-log</t>
  </si>
  <si>
    <t>Component, service layer, states, route guard; FE–BE integration, CORS/mismatch, E2E</t>
  </si>
  <si>
    <t>Demo FE slice gọi API thật + E2E flow</t>
  </si>
  <si>
    <t>Dựng vertical slice fullstack + E2E verification; clinic</t>
  </si>
  <si>
    <t>FE vertical slice, E2E test, evidence</t>
  </si>
  <si>
    <t>Đọc diff, code smell, refactor có kiểm soát; ôn vertical slice</t>
  </si>
  <si>
    <t>Demo review diff + refactor; mock diff review</t>
  </si>
  <si>
    <t>Review diff của agent + refactor; mini demo + THI THỰC HÀNH PHASE III</t>
  </si>
  <si>
    <t>diff-review-log, refactor note</t>
  </si>
  <si>
    <t>Stack trace, log, network; phân loại lỗi; self-healing loop, stop condition; SQLi/XSS/BAC/secret, OWASP Top 10; license/IP/đạo đức code AI</t>
  </si>
  <si>
    <t>Demo debug live + bugfix có stop condition; demo phát hiện lỗ hổng + license check</t>
  </si>
  <si>
    <t>Tái hiện + vá bug trong scope; rà bảo mật theo OWASP + rủi ro pháp lý; security clinic</t>
  </si>
  <si>
    <t>bug-tracker, RCA, security-review (OWASP), ai-usage-policy</t>
  </si>
  <si>
    <t>Dockerfile, Compose, env, CI; agent tự review diff/PR làm cổng CI; PaaS deploy, secret, HTTPS</t>
  </si>
  <si>
    <t>Demo compose + CI + bước AI review + deploy</t>
  </si>
  <si>
    <t>Đóng gói Docker + CI chạy thật; deploy Live URL + smoke test + rollback</t>
  </si>
  <si>
    <t>Dockerfile, compose, CI pipeline xanh, ai-review-gate-note, deployment-notes, Live URL</t>
  </si>
  <si>
    <t>Logging, error tracking, health check; maintenance: incident, versioning, regression, changelog; ôn tập</t>
  </si>
  <si>
    <t>Demo logging/health + release checklist; mock exam</t>
  </si>
  <si>
    <t>Maintenance drill (incident → regression → changelog) + THI THỰC HÀNH PHASE IV: debug + security + Docker/CI + release + 1 change request</t>
  </si>
  <si>
    <t>observability note, changelog, release checklist</t>
  </si>
  <si>
    <t>GIAI ĐOẠN 3: CAPSTONE PROJECT &amp; OJT TRÊN HỆ THỐNG IOC (7 TUẦN)</t>
  </si>
  <si>
    <t>Làm việc nhóm theo Scrum, mentor đồng hành; Capstone được tính là thời gian OJT</t>
  </si>
  <si>
    <t>Sprint / Gate</t>
  </si>
  <si>
    <t>Nội dung</t>
  </si>
  <si>
    <t>Proposal, scope, AI usage policy, team agreement; branching/PR nhóm; chốt spec baseline</t>
  </si>
  <si>
    <t>Proposal, team agreement, spec baseline + traceability</t>
  </si>
  <si>
    <t>Triển khai backend + integration test qua agent; daily stand-up trên IOC</t>
  </si>
  <si>
    <t>Backend chạy được, integration test pass</t>
  </si>
  <si>
    <t>Frontend + fullstack flow + E2E; sprint review với mentor</t>
  </si>
  <si>
    <t>Fullstack flow + E2E evidence</t>
  </si>
  <si>
    <t>Live URL, CI xanh, security report, release v1.0</t>
  </si>
  <si>
    <t>Nhận codebase của nhóm khác; vẽ sơ đồ hệ thống legacy; phân tích change request; viết test bảo vệ hành vi hiện tại</t>
  </si>
  <si>
    <t>Sơ đồ legacy, phân tích change request, characterization tests</t>
  </si>
  <si>
    <t>Thực hiện change request + sửa bug; regression test; changelog; release v1.1</t>
  </si>
  <si>
    <t>Release v1.1, regression report, changelog</t>
  </si>
  <si>
    <t>README tiếng Anh, demo, slide; bảo vệ trước hội đồng; đánh giá OJT</t>
  </si>
  <si>
    <t>Capstone Defense, bản đánh giá năng lực, chứng nhận</t>
  </si>
  <si>
    <t>LỘ TRÌNH CŨ (37 TUẦN) VÀ VỊ TRÍ TRONG LỘ TRÌNH MỚI</t>
  </si>
  <si>
    <t>Mỗi tuần cũ được gộp, giữ nguyên hoặc chuyển sang tuần nào trong bản 26 tuần</t>
  </si>
  <si>
    <t>STT</t>
  </si>
  <si>
    <t>Phần (cũ)</t>
  </si>
  <si>
    <t>Nội dung tuần cũ</t>
  </si>
  <si>
    <t>Trong lộ trình mới</t>
  </si>
  <si>
    <t>GĐ1</t>
  </si>
  <si>
    <t>Workspace setup &amp; Git</t>
  </si>
  <si>
    <t>Gộp vào tuần mới 1</t>
  </si>
  <si>
    <t>HTML, CSS &amp; Responsive Layout</t>
  </si>
  <si>
    <t>JavaScript ES6+ Fundamentals</t>
  </si>
  <si>
    <t>Gộp vào tuần mới 2</t>
  </si>
  <si>
    <t>API Integration &amp; Fetch</t>
  </si>
  <si>
    <t>React Fundamentals</t>
  </si>
  <si>
    <t>Tuần mới 3</t>
  </si>
  <si>
    <t>React Hooks &amp; Forms</t>
  </si>
  <si>
    <t>Tuần mới 3–4</t>
  </si>
  <si>
    <t>Node.js &amp; Express API</t>
  </si>
  <si>
    <t>Tuần mới 5</t>
  </si>
  <si>
    <t>Database with Sequelize</t>
  </si>
  <si>
    <t>Tuần mới 6</t>
  </si>
  <si>
    <t>Authentication &amp; Security</t>
  </si>
  <si>
    <t>Chuyển sang tuần mới 14</t>
  </si>
  <si>
    <t>Integration &amp; Final Exam</t>
  </si>
  <si>
    <t>Tuần mới 7</t>
  </si>
  <si>
    <t>GĐ2 M1</t>
  </si>
  <si>
    <t>AI-assisted &amp; Agentic SDLC</t>
  </si>
  <si>
    <t>Gộp vào tuần mới 8</t>
  </si>
  <si>
    <t>Workspace &amp; Agent Memory</t>
  </si>
  <si>
    <t>Governance + MCP + Thi Phase I</t>
  </si>
  <si>
    <t>Tuần mới 9</t>
  </si>
  <si>
    <t>GĐ2 M2</t>
  </si>
  <si>
    <t>Requirement + MoSCoW + PII</t>
  </si>
  <si>
    <t>Gộp vào tuần mới 10</t>
  </si>
  <si>
    <t>Story &amp; AC + Wireframe</t>
  </si>
  <si>
    <t>Tuần mới 10–11</t>
  </si>
  <si>
    <t>Database Contract &amp; ERD</t>
  </si>
  <si>
    <t>Gộp vào tuần mới 11</t>
  </si>
  <si>
    <t>API + Plan + Thi Phase II</t>
  </si>
  <si>
    <t>Tuần mới 12</t>
  </si>
  <si>
    <t>GĐ2 M3</t>
  </si>
  <si>
    <t>Test-first/TDD + Git</t>
  </si>
  <si>
    <t>Gộp vào tuần mới 13</t>
  </si>
  <si>
    <t>Task Contract &amp; Backend</t>
  </si>
  <si>
    <t>Tuần mới 13–14</t>
  </si>
  <si>
    <t>Backend, Auth &amp; Rule</t>
  </si>
  <si>
    <t>Gộp vào tuần mới 14</t>
  </si>
  <si>
    <t>Frontend &amp; Integration</t>
  </si>
  <si>
    <t>Gộp vào tuần mới 15</t>
  </si>
  <si>
    <t>Fullstack &amp; E2E</t>
  </si>
  <si>
    <t>Diff Review + Thi Phase III</t>
  </si>
  <si>
    <t>Tuần mới 16</t>
  </si>
  <si>
    <t>GĐ2 M4</t>
  </si>
  <si>
    <t>Debug + Self-healing</t>
  </si>
  <si>
    <t>Gộp vào tuần mới 17</t>
  </si>
  <si>
    <t>Security &amp; Legal/IP</t>
  </si>
  <si>
    <t>Docker &amp; CI + AI Review Gate</t>
  </si>
  <si>
    <t>Gộp vào tuần mới 18</t>
  </si>
  <si>
    <t>Cloud + Observability + Maintenance</t>
  </si>
  <si>
    <t>Tuần mới 18–19</t>
  </si>
  <si>
    <t>Thi Phase IV</t>
  </si>
  <si>
    <t>Thi vào cuối tuần mới 19</t>
  </si>
  <si>
    <t>GĐ2 M5</t>
  </si>
  <si>
    <t>Kickoff · M0–M1</t>
  </si>
  <si>
    <t>Tuần mới 20</t>
  </si>
  <si>
    <t>Backend · M2</t>
  </si>
  <si>
    <t>Tuần mới 21</t>
  </si>
  <si>
    <t>Frontend · M3</t>
  </si>
  <si>
    <t>Tuần mới 22</t>
  </si>
  <si>
    <t>Hardening · M4–M6</t>
  </si>
  <si>
    <t>Tuần mới 23</t>
  </si>
  <si>
    <t>Defense · M7</t>
  </si>
  <si>
    <t>Tuần mới 26</t>
  </si>
  <si>
    <t>GĐ3 OJT</t>
  </si>
  <si>
    <t>OJT tuần 1</t>
  </si>
  <si>
    <t>Gộp vào Capstone trên IOC</t>
  </si>
  <si>
    <t>OJT tuần 2</t>
  </si>
  <si>
    <t>OJT tuần 3</t>
  </si>
  <si>
    <t>Pha Brownfield, tuần mới 24–25</t>
  </si>
  <si>
    <t>OJT tuần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</si>
</sst>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8" x14ac:knownFonts="1">
    <font>
      <sz val="11"/>
      <color theme="1"/>
      <name val="Calibri"/>
      <family val="2"/>
      <scheme val="minor"/>
    </font>
    <font>
      <b/>
      <sz val="14"/>
      <color rgb="FFC8102E"/>
      <name val="Arial"/>
    </font>
    <font>
      <i/>
      <sz val="10"/>
      <color rgb="FF6B6164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b/>
      <sz val="10"/>
      <color rgb="FFC8102E"/>
      <name val="Arial"/>
    </font>
    <font>
      <sz val="10"/>
      <color rgb="FF0000FF"/>
      <name val="Arial"/>
    </font>
  </fonts>
  <fills count="8">
    <fill>
      <patternFill patternType="none"/>
    </fill>
    <fill>
      <patternFill patternType="gray125"/>
    </fill>
    <fill>
      <patternFill patternType="solid">
        <fgColor rgb="FFC8102E"/>
      </patternFill>
    </fill>
    <fill>
      <patternFill patternType="solid">
        <fgColor rgb="FFE3EAF3"/>
      </patternFill>
    </fill>
    <fill>
      <patternFill patternType="solid">
        <fgColor rgb="FFFBE7EA"/>
      </patternFill>
    </fill>
    <fill>
      <patternFill patternType="solid">
        <fgColor rgb="FFFDF1D8"/>
      </patternFill>
    </fill>
    <fill>
      <patternFill patternType="solid">
        <fgColor rgb="FFF3EFEE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D9CFCD"/>
      </left>
      <right style="thin">
        <color rgb="FFD9CFCD"/>
      </right>
      <top style="thin">
        <color rgb="FFD9CFCD"/>
      </top>
      <bottom style="thin">
        <color rgb="FFD9CFCD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vertical="top" wrapText="1"/>
    </xf>
    <xf numFmtId="0" fontId="6" fillId="0" borderId="0" xfId="0" applyFont="1"/>
    <xf numFmtId="0" fontId="4" fillId="0" borderId="0" xfId="0" applyFont="1"/>
    <xf numFmtId="0" fontId="7" fillId="7" borderId="1" xfId="0" applyFont="1" applyFill="1" applyBorder="1"/>
    <xf numFmtId="0" fontId="4" fillId="0" borderId="1" xfId="0" applyFont="1" applyBorder="1"/>
    <xf numFmtId="1" fontId="4" fillId="0" borderId="1" xfId="0" applyNumberFormat="1" applyFont="1" applyBorder="1"/>
    <xf numFmtId="164" fontId="4" fillId="0" borderId="1" xfId="0" applyNumberFormat="1" applyFont="1" applyBorder="1"/>
    <xf numFmtId="0" fontId="5" fillId="6" borderId="1" xfId="0" applyFont="1" applyFill="1" applyBorder="1"/>
    <xf numFmtId="1" fontId="5" fillId="6" borderId="1" xfId="0" applyNumberFormat="1" applyFont="1" applyFill="1" applyBorder="1"/>
    <xf numFmtId="164" fontId="5" fillId="6" borderId="1" xfId="0" applyNumberFormat="1" applyFont="1" applyFill="1" applyBorder="1"/>
    <xf numFmtId="165" fontId="4" fillId="0" borderId="1" xfId="0" applyNumberFormat="1" applyFont="1" applyBorder="1"/>
    <xf numFmtId="165" fontId="5" fillId="6" borderId="1" xfId="0" applyNumberFormat="1" applyFont="1" applyFill="1" applyBorder="1"/>
    <xf numFmtId="0" fontId="5" fillId="6" borderId="1" xfId="0" applyFont="1" applyFill="1" applyBorder="1" applyAlignment="1">
      <alignment horizontal="center" vertical="top" wrapText="1"/>
    </xf>
    <xf numFmtId="0" fontId="5" fillId="6" borderId="1" xfId="0" applyFont="1" applyFill="1" applyBorder="1" applyAlignment="1">
      <alignment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7" customWidth="1"/>
    <col min="2" max="2" width="26" customWidth="1"/>
    <col min="3" max="3" width="30" customWidth="1"/>
    <col min="4" max="4" width="50" customWidth="1"/>
    <col min="5" max="5" width="8" customWidth="1"/>
    <col min="6" max="6" width="34" customWidth="1"/>
  </cols>
  <sheetData>
    <row r="1" spans="1:6" ht="18" x14ac:dyDescent="0.4">
      <c r="A1" s="1" t="s">
        <v>0</v>
      </c>
    </row>
    <row r="2" spans="1:6" x14ac:dyDescent="0.35">
      <c r="A2" s="2" t="s">
        <v>1</v>
      </c>
    </row>
    <row r="4" spans="1:6" x14ac:dyDescent="0.3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35">
      <c r="A5" s="4">
        <v>1</v>
      </c>
      <c r="B5" s="5" t="s">
        <v>8</v>
      </c>
      <c r="C5" s="5"/>
      <c r="D5" s="5" t="s">
        <v>9</v>
      </c>
      <c r="E5" s="4"/>
      <c r="F5" s="5" t="s">
        <v>10</v>
      </c>
    </row>
    <row r="6" spans="1:6" x14ac:dyDescent="0.35">
      <c r="A6" s="4">
        <v>2</v>
      </c>
      <c r="B6" s="5" t="s">
        <v>8</v>
      </c>
      <c r="C6" s="5"/>
      <c r="D6" s="5" t="s">
        <v>11</v>
      </c>
      <c r="E6" s="4"/>
      <c r="F6" s="5" t="s">
        <v>12</v>
      </c>
    </row>
    <row r="7" spans="1:6" x14ac:dyDescent="0.35">
      <c r="A7" s="4">
        <v>3</v>
      </c>
      <c r="B7" s="5" t="s">
        <v>8</v>
      </c>
      <c r="C7" s="5"/>
      <c r="D7" s="5" t="s">
        <v>13</v>
      </c>
      <c r="E7" s="4"/>
      <c r="F7" s="5" t="s">
        <v>14</v>
      </c>
    </row>
    <row r="8" spans="1:6" x14ac:dyDescent="0.35">
      <c r="A8" s="4">
        <v>4</v>
      </c>
      <c r="B8" s="5" t="s">
        <v>8</v>
      </c>
      <c r="C8" s="5"/>
      <c r="D8" s="5" t="s">
        <v>15</v>
      </c>
      <c r="E8" s="4"/>
      <c r="F8" s="5" t="s">
        <v>16</v>
      </c>
    </row>
    <row r="9" spans="1:6" x14ac:dyDescent="0.35">
      <c r="A9" s="4">
        <v>5</v>
      </c>
      <c r="B9" s="5" t="s">
        <v>8</v>
      </c>
      <c r="C9" s="5"/>
      <c r="D9" s="5" t="s">
        <v>17</v>
      </c>
      <c r="E9" s="4"/>
      <c r="F9" s="5" t="s">
        <v>18</v>
      </c>
    </row>
    <row r="10" spans="1:6" ht="25" x14ac:dyDescent="0.35">
      <c r="A10" s="4">
        <v>6</v>
      </c>
      <c r="B10" s="5" t="s">
        <v>8</v>
      </c>
      <c r="C10" s="5"/>
      <c r="D10" s="5" t="s">
        <v>19</v>
      </c>
      <c r="E10" s="4"/>
      <c r="F10" s="5" t="s">
        <v>20</v>
      </c>
    </row>
    <row r="11" spans="1:6" x14ac:dyDescent="0.35">
      <c r="A11" s="4">
        <v>7</v>
      </c>
      <c r="B11" s="5" t="s">
        <v>8</v>
      </c>
      <c r="C11" s="5"/>
      <c r="D11" s="5" t="s">
        <v>21</v>
      </c>
      <c r="E11" s="4" t="s">
        <v>6</v>
      </c>
      <c r="F11" s="5" t="s">
        <v>22</v>
      </c>
    </row>
    <row r="12" spans="1:6" x14ac:dyDescent="0.35">
      <c r="A12" s="6">
        <v>8</v>
      </c>
      <c r="B12" s="7" t="s">
        <v>23</v>
      </c>
      <c r="C12" s="7" t="s">
        <v>24</v>
      </c>
      <c r="D12" s="7" t="s">
        <v>25</v>
      </c>
      <c r="E12" s="6"/>
      <c r="F12" s="7" t="s">
        <v>26</v>
      </c>
    </row>
    <row r="13" spans="1:6" x14ac:dyDescent="0.35">
      <c r="A13" s="6">
        <v>9</v>
      </c>
      <c r="B13" s="7" t="s">
        <v>23</v>
      </c>
      <c r="C13" s="7" t="s">
        <v>24</v>
      </c>
      <c r="D13" s="7" t="s">
        <v>27</v>
      </c>
      <c r="E13" s="6" t="s">
        <v>6</v>
      </c>
      <c r="F13" s="7" t="s">
        <v>28</v>
      </c>
    </row>
    <row r="14" spans="1:6" x14ac:dyDescent="0.35">
      <c r="A14" s="6">
        <v>10</v>
      </c>
      <c r="B14" s="7" t="s">
        <v>23</v>
      </c>
      <c r="C14" s="7" t="s">
        <v>29</v>
      </c>
      <c r="D14" s="7" t="s">
        <v>30</v>
      </c>
      <c r="E14" s="6"/>
      <c r="F14" s="7" t="s">
        <v>31</v>
      </c>
    </row>
    <row r="15" spans="1:6" x14ac:dyDescent="0.35">
      <c r="A15" s="6">
        <v>11</v>
      </c>
      <c r="B15" s="7" t="s">
        <v>23</v>
      </c>
      <c r="C15" s="7" t="s">
        <v>29</v>
      </c>
      <c r="D15" s="7" t="s">
        <v>32</v>
      </c>
      <c r="E15" s="6"/>
      <c r="F15" s="7" t="s">
        <v>33</v>
      </c>
    </row>
    <row r="16" spans="1:6" x14ac:dyDescent="0.35">
      <c r="A16" s="6">
        <v>12</v>
      </c>
      <c r="B16" s="7" t="s">
        <v>23</v>
      </c>
      <c r="C16" s="7" t="s">
        <v>29</v>
      </c>
      <c r="D16" s="7" t="s">
        <v>34</v>
      </c>
      <c r="E16" s="6" t="s">
        <v>6</v>
      </c>
      <c r="F16" s="7" t="s">
        <v>35</v>
      </c>
    </row>
    <row r="17" spans="1:6" x14ac:dyDescent="0.35">
      <c r="A17" s="6">
        <v>13</v>
      </c>
      <c r="B17" s="7" t="s">
        <v>23</v>
      </c>
      <c r="C17" s="7" t="s">
        <v>36</v>
      </c>
      <c r="D17" s="7" t="s">
        <v>37</v>
      </c>
      <c r="E17" s="6"/>
      <c r="F17" s="7" t="s">
        <v>38</v>
      </c>
    </row>
    <row r="18" spans="1:6" x14ac:dyDescent="0.35">
      <c r="A18" s="6">
        <v>14</v>
      </c>
      <c r="B18" s="7" t="s">
        <v>23</v>
      </c>
      <c r="C18" s="7" t="s">
        <v>36</v>
      </c>
      <c r="D18" s="7" t="s">
        <v>39</v>
      </c>
      <c r="E18" s="6"/>
      <c r="F18" s="7" t="s">
        <v>40</v>
      </c>
    </row>
    <row r="19" spans="1:6" x14ac:dyDescent="0.35">
      <c r="A19" s="6">
        <v>15</v>
      </c>
      <c r="B19" s="7" t="s">
        <v>23</v>
      </c>
      <c r="C19" s="7" t="s">
        <v>36</v>
      </c>
      <c r="D19" s="7" t="s">
        <v>41</v>
      </c>
      <c r="E19" s="6"/>
      <c r="F19" s="7" t="s">
        <v>42</v>
      </c>
    </row>
    <row r="20" spans="1:6" x14ac:dyDescent="0.35">
      <c r="A20" s="6">
        <v>16</v>
      </c>
      <c r="B20" s="7" t="s">
        <v>23</v>
      </c>
      <c r="C20" s="7" t="s">
        <v>36</v>
      </c>
      <c r="D20" s="7" t="s">
        <v>43</v>
      </c>
      <c r="E20" s="6" t="s">
        <v>6</v>
      </c>
      <c r="F20" s="7" t="s">
        <v>44</v>
      </c>
    </row>
    <row r="21" spans="1:6" x14ac:dyDescent="0.35">
      <c r="A21" s="6">
        <v>17</v>
      </c>
      <c r="B21" s="7" t="s">
        <v>23</v>
      </c>
      <c r="C21" s="7" t="s">
        <v>45</v>
      </c>
      <c r="D21" s="7" t="s">
        <v>46</v>
      </c>
      <c r="E21" s="6"/>
      <c r="F21" s="7" t="s">
        <v>47</v>
      </c>
    </row>
    <row r="22" spans="1:6" x14ac:dyDescent="0.35">
      <c r="A22" s="6">
        <v>18</v>
      </c>
      <c r="B22" s="7" t="s">
        <v>23</v>
      </c>
      <c r="C22" s="7" t="s">
        <v>45</v>
      </c>
      <c r="D22" s="7" t="s">
        <v>48</v>
      </c>
      <c r="E22" s="6"/>
      <c r="F22" s="7" t="s">
        <v>49</v>
      </c>
    </row>
    <row r="23" spans="1:6" x14ac:dyDescent="0.35">
      <c r="A23" s="6">
        <v>19</v>
      </c>
      <c r="B23" s="7" t="s">
        <v>23</v>
      </c>
      <c r="C23" s="7" t="s">
        <v>45</v>
      </c>
      <c r="D23" s="7" t="s">
        <v>50</v>
      </c>
      <c r="E23" s="6" t="s">
        <v>6</v>
      </c>
      <c r="F23" s="7" t="s">
        <v>51</v>
      </c>
    </row>
    <row r="24" spans="1:6" x14ac:dyDescent="0.35">
      <c r="A24" s="8">
        <v>20</v>
      </c>
      <c r="B24" s="9" t="s">
        <v>52</v>
      </c>
      <c r="C24" s="9" t="s">
        <v>53</v>
      </c>
      <c r="D24" s="9" t="s">
        <v>54</v>
      </c>
      <c r="E24" s="8"/>
      <c r="F24" s="9" t="s">
        <v>55</v>
      </c>
    </row>
    <row r="25" spans="1:6" x14ac:dyDescent="0.35">
      <c r="A25" s="8">
        <v>21</v>
      </c>
      <c r="B25" s="9" t="s">
        <v>52</v>
      </c>
      <c r="C25" s="9" t="s">
        <v>56</v>
      </c>
      <c r="D25" s="9" t="s">
        <v>57</v>
      </c>
      <c r="E25" s="8"/>
      <c r="F25" s="9" t="s">
        <v>58</v>
      </c>
    </row>
    <row r="26" spans="1:6" x14ac:dyDescent="0.35">
      <c r="A26" s="8">
        <v>22</v>
      </c>
      <c r="B26" s="9" t="s">
        <v>52</v>
      </c>
      <c r="C26" s="9" t="s">
        <v>59</v>
      </c>
      <c r="D26" s="9" t="s">
        <v>60</v>
      </c>
      <c r="E26" s="8"/>
      <c r="F26" s="9" t="s">
        <v>61</v>
      </c>
    </row>
    <row r="27" spans="1:6" ht="25" x14ac:dyDescent="0.35">
      <c r="A27" s="8">
        <v>23</v>
      </c>
      <c r="B27" s="9" t="s">
        <v>52</v>
      </c>
      <c r="C27" s="9" t="s">
        <v>62</v>
      </c>
      <c r="D27" s="9" t="s">
        <v>63</v>
      </c>
      <c r="E27" s="8"/>
      <c r="F27" s="9" t="s">
        <v>64</v>
      </c>
    </row>
    <row r="28" spans="1:6" x14ac:dyDescent="0.35">
      <c r="A28" s="8">
        <v>24</v>
      </c>
      <c r="B28" s="9" t="s">
        <v>52</v>
      </c>
      <c r="C28" s="9" t="s">
        <v>65</v>
      </c>
      <c r="D28" s="9" t="s">
        <v>66</v>
      </c>
      <c r="E28" s="8"/>
      <c r="F28" s="9" t="s">
        <v>67</v>
      </c>
    </row>
    <row r="29" spans="1:6" x14ac:dyDescent="0.35">
      <c r="A29" s="8">
        <v>25</v>
      </c>
      <c r="B29" s="9" t="s">
        <v>52</v>
      </c>
      <c r="C29" s="9" t="s">
        <v>68</v>
      </c>
      <c r="D29" s="9" t="s">
        <v>69</v>
      </c>
      <c r="E29" s="8"/>
      <c r="F29" s="9" t="s">
        <v>67</v>
      </c>
    </row>
    <row r="30" spans="1:6" x14ac:dyDescent="0.35">
      <c r="A30" s="8">
        <v>26</v>
      </c>
      <c r="B30" s="9" t="s">
        <v>52</v>
      </c>
      <c r="C30" s="9" t="s">
        <v>70</v>
      </c>
      <c r="D30" s="9" t="s">
        <v>71</v>
      </c>
      <c r="E30" s="8" t="s">
        <v>6</v>
      </c>
      <c r="F30" s="9" t="s">
        <v>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5"/>
  <sheetViews>
    <sheetView workbookViewId="0"/>
  </sheetViews>
  <sheetFormatPr defaultRowHeight="14.5" x14ac:dyDescent="0.35"/>
  <cols>
    <col min="1" max="1" width="30" customWidth="1"/>
    <col min="2" max="2" width="34" customWidth="1"/>
    <col min="3" max="5" width="16" customWidth="1"/>
    <col min="6" max="6" width="18" customWidth="1"/>
    <col min="7" max="7" width="20" customWidth="1"/>
  </cols>
  <sheetData>
    <row r="1" spans="1:7" ht="18" x14ac:dyDescent="0.4">
      <c r="A1" s="1" t="s">
        <v>73</v>
      </c>
    </row>
    <row r="2" spans="1:7" x14ac:dyDescent="0.35">
      <c r="A2" s="2" t="s">
        <v>74</v>
      </c>
    </row>
    <row r="4" spans="1:7" x14ac:dyDescent="0.35">
      <c r="A4" s="10" t="s">
        <v>75</v>
      </c>
    </row>
    <row r="5" spans="1:7" x14ac:dyDescent="0.35">
      <c r="A5" s="11" t="s">
        <v>76</v>
      </c>
      <c r="B5" s="12">
        <v>3</v>
      </c>
      <c r="C5" s="2" t="s">
        <v>77</v>
      </c>
    </row>
    <row r="6" spans="1:7" x14ac:dyDescent="0.35">
      <c r="A6" s="11" t="s">
        <v>78</v>
      </c>
      <c r="B6" s="12">
        <v>3</v>
      </c>
      <c r="C6" s="2" t="s">
        <v>79</v>
      </c>
    </row>
    <row r="7" spans="1:7" x14ac:dyDescent="0.35">
      <c r="A7" s="11" t="s">
        <v>80</v>
      </c>
      <c r="B7" s="12">
        <v>2</v>
      </c>
      <c r="C7" s="2" t="s">
        <v>81</v>
      </c>
    </row>
    <row r="8" spans="1:7" x14ac:dyDescent="0.35">
      <c r="A8" s="11" t="s">
        <v>82</v>
      </c>
      <c r="B8" s="12">
        <v>9</v>
      </c>
      <c r="C8" s="2" t="s">
        <v>83</v>
      </c>
    </row>
    <row r="10" spans="1:7" x14ac:dyDescent="0.35">
      <c r="A10" s="10" t="s">
        <v>84</v>
      </c>
    </row>
    <row r="11" spans="1:7" ht="26" x14ac:dyDescent="0.35">
      <c r="A11" s="3" t="s">
        <v>2</v>
      </c>
      <c r="B11" s="3" t="s">
        <v>5</v>
      </c>
      <c r="C11" s="3" t="s">
        <v>85</v>
      </c>
      <c r="D11" s="3" t="s">
        <v>86</v>
      </c>
      <c r="E11" s="3" t="s">
        <v>87</v>
      </c>
      <c r="F11" s="3" t="s">
        <v>88</v>
      </c>
      <c r="G11" s="3" t="s">
        <v>89</v>
      </c>
    </row>
    <row r="12" spans="1:7" x14ac:dyDescent="0.35">
      <c r="A12" s="13">
        <v>1</v>
      </c>
      <c r="B12" s="13" t="s">
        <v>9</v>
      </c>
      <c r="C12" s="14">
        <f>SUMIFS('GĐ1 - Fullstack (7 tuần)'!$E$5:$E$95,'GĐ1 - Fullstack (7 tuần)'!$A$5:$A$95,A12,'GĐ1 - Fullstack (7 tuần)'!$C$5:$C$95,"Pre-class")</f>
        <v>45</v>
      </c>
      <c r="D12" s="14">
        <f>SUMIFS('GĐ1 - Fullstack (7 tuần)'!$E$5:$E$95,'GĐ1 - Fullstack (7 tuần)'!$A$5:$A$95,A12,'GĐ1 - Fullstack (7 tuần)'!$C$5:$C$95,"Buổi 1")</f>
        <v>180</v>
      </c>
      <c r="E12" s="14">
        <f>SUMIFS('GĐ1 - Fullstack (7 tuần)'!$E$5:$E$95,'GĐ1 - Fullstack (7 tuần)'!$A$5:$A$95,A12,'GĐ1 - Fullstack (7 tuần)'!$C$5:$C$95,"Buổi 2*")</f>
        <v>180</v>
      </c>
      <c r="F12" s="15">
        <f t="shared" ref="F12:F18" si="0">(D12+E12)/60</f>
        <v>6</v>
      </c>
      <c r="G12" s="15">
        <f t="shared" ref="G12:G18" si="1">(C12+D12+E12)/60</f>
        <v>6.75</v>
      </c>
    </row>
    <row r="13" spans="1:7" x14ac:dyDescent="0.35">
      <c r="A13" s="13">
        <v>2</v>
      </c>
      <c r="B13" s="13" t="s">
        <v>11</v>
      </c>
      <c r="C13" s="14">
        <f>SUMIFS('GĐ1 - Fullstack (7 tuần)'!$E$5:$E$95,'GĐ1 - Fullstack (7 tuần)'!$A$5:$A$95,A13,'GĐ1 - Fullstack (7 tuần)'!$C$5:$C$95,"Pre-class")</f>
        <v>45</v>
      </c>
      <c r="D13" s="14">
        <f>SUMIFS('GĐ1 - Fullstack (7 tuần)'!$E$5:$E$95,'GĐ1 - Fullstack (7 tuần)'!$A$5:$A$95,A13,'GĐ1 - Fullstack (7 tuần)'!$C$5:$C$95,"Buổi 1")</f>
        <v>180</v>
      </c>
      <c r="E13" s="14">
        <f>SUMIFS('GĐ1 - Fullstack (7 tuần)'!$E$5:$E$95,'GĐ1 - Fullstack (7 tuần)'!$A$5:$A$95,A13,'GĐ1 - Fullstack (7 tuần)'!$C$5:$C$95,"Buổi 2*")</f>
        <v>180</v>
      </c>
      <c r="F13" s="15">
        <f t="shared" si="0"/>
        <v>6</v>
      </c>
      <c r="G13" s="15">
        <f t="shared" si="1"/>
        <v>6.75</v>
      </c>
    </row>
    <row r="14" spans="1:7" x14ac:dyDescent="0.35">
      <c r="A14" s="13">
        <v>3</v>
      </c>
      <c r="B14" s="13" t="s">
        <v>13</v>
      </c>
      <c r="C14" s="14">
        <f>SUMIFS('GĐ1 - Fullstack (7 tuần)'!$E$5:$E$95,'GĐ1 - Fullstack (7 tuần)'!$A$5:$A$95,A14,'GĐ1 - Fullstack (7 tuần)'!$C$5:$C$95,"Pre-class")</f>
        <v>45</v>
      </c>
      <c r="D14" s="14">
        <f>SUMIFS('GĐ1 - Fullstack (7 tuần)'!$E$5:$E$95,'GĐ1 - Fullstack (7 tuần)'!$A$5:$A$95,A14,'GĐ1 - Fullstack (7 tuần)'!$C$5:$C$95,"Buổi 1")</f>
        <v>180</v>
      </c>
      <c r="E14" s="14">
        <f>SUMIFS('GĐ1 - Fullstack (7 tuần)'!$E$5:$E$95,'GĐ1 - Fullstack (7 tuần)'!$A$5:$A$95,A14,'GĐ1 - Fullstack (7 tuần)'!$C$5:$C$95,"Buổi 2*")</f>
        <v>180</v>
      </c>
      <c r="F14" s="15">
        <f t="shared" si="0"/>
        <v>6</v>
      </c>
      <c r="G14" s="15">
        <f t="shared" si="1"/>
        <v>6.75</v>
      </c>
    </row>
    <row r="15" spans="1:7" x14ac:dyDescent="0.35">
      <c r="A15" s="13">
        <v>4</v>
      </c>
      <c r="B15" s="13" t="s">
        <v>15</v>
      </c>
      <c r="C15" s="14">
        <f>SUMIFS('GĐ1 - Fullstack (7 tuần)'!$E$5:$E$95,'GĐ1 - Fullstack (7 tuần)'!$A$5:$A$95,A15,'GĐ1 - Fullstack (7 tuần)'!$C$5:$C$95,"Pre-class")</f>
        <v>45</v>
      </c>
      <c r="D15" s="14">
        <f>SUMIFS('GĐ1 - Fullstack (7 tuần)'!$E$5:$E$95,'GĐ1 - Fullstack (7 tuần)'!$A$5:$A$95,A15,'GĐ1 - Fullstack (7 tuần)'!$C$5:$C$95,"Buổi 1")</f>
        <v>180</v>
      </c>
      <c r="E15" s="14">
        <f>SUMIFS('GĐ1 - Fullstack (7 tuần)'!$E$5:$E$95,'GĐ1 - Fullstack (7 tuần)'!$A$5:$A$95,A15,'GĐ1 - Fullstack (7 tuần)'!$C$5:$C$95,"Buổi 2*")</f>
        <v>180</v>
      </c>
      <c r="F15" s="15">
        <f t="shared" si="0"/>
        <v>6</v>
      </c>
      <c r="G15" s="15">
        <f t="shared" si="1"/>
        <v>6.75</v>
      </c>
    </row>
    <row r="16" spans="1:7" x14ac:dyDescent="0.35">
      <c r="A16" s="13">
        <v>5</v>
      </c>
      <c r="B16" s="13" t="s">
        <v>17</v>
      </c>
      <c r="C16" s="14">
        <f>SUMIFS('GĐ1 - Fullstack (7 tuần)'!$E$5:$E$95,'GĐ1 - Fullstack (7 tuần)'!$A$5:$A$95,A16,'GĐ1 - Fullstack (7 tuần)'!$C$5:$C$95,"Pre-class")</f>
        <v>45</v>
      </c>
      <c r="D16" s="14">
        <f>SUMIFS('GĐ1 - Fullstack (7 tuần)'!$E$5:$E$95,'GĐ1 - Fullstack (7 tuần)'!$A$5:$A$95,A16,'GĐ1 - Fullstack (7 tuần)'!$C$5:$C$95,"Buổi 1")</f>
        <v>180</v>
      </c>
      <c r="E16" s="14">
        <f>SUMIFS('GĐ1 - Fullstack (7 tuần)'!$E$5:$E$95,'GĐ1 - Fullstack (7 tuần)'!$A$5:$A$95,A16,'GĐ1 - Fullstack (7 tuần)'!$C$5:$C$95,"Buổi 2*")</f>
        <v>180</v>
      </c>
      <c r="F16" s="15">
        <f t="shared" si="0"/>
        <v>6</v>
      </c>
      <c r="G16" s="15">
        <f t="shared" si="1"/>
        <v>6.75</v>
      </c>
    </row>
    <row r="17" spans="1:7" x14ac:dyDescent="0.35">
      <c r="A17" s="13">
        <v>6</v>
      </c>
      <c r="B17" s="13" t="s">
        <v>19</v>
      </c>
      <c r="C17" s="14">
        <f>SUMIFS('GĐ1 - Fullstack (7 tuần)'!$E$5:$E$95,'GĐ1 - Fullstack (7 tuần)'!$A$5:$A$95,A17,'GĐ1 - Fullstack (7 tuần)'!$C$5:$C$95,"Pre-class")</f>
        <v>45</v>
      </c>
      <c r="D17" s="14">
        <f>SUMIFS('GĐ1 - Fullstack (7 tuần)'!$E$5:$E$95,'GĐ1 - Fullstack (7 tuần)'!$A$5:$A$95,A17,'GĐ1 - Fullstack (7 tuần)'!$C$5:$C$95,"Buổi 1")</f>
        <v>180</v>
      </c>
      <c r="E17" s="14">
        <f>SUMIFS('GĐ1 - Fullstack (7 tuần)'!$E$5:$E$95,'GĐ1 - Fullstack (7 tuần)'!$A$5:$A$95,A17,'GĐ1 - Fullstack (7 tuần)'!$C$5:$C$95,"Buổi 2*")</f>
        <v>180</v>
      </c>
      <c r="F17" s="15">
        <f t="shared" si="0"/>
        <v>6</v>
      </c>
      <c r="G17" s="15">
        <f t="shared" si="1"/>
        <v>6.75</v>
      </c>
    </row>
    <row r="18" spans="1:7" x14ac:dyDescent="0.35">
      <c r="A18" s="13">
        <v>7</v>
      </c>
      <c r="B18" s="13" t="s">
        <v>21</v>
      </c>
      <c r="C18" s="14">
        <f>SUMIFS('GĐ1 - Fullstack (7 tuần)'!$E$5:$E$95,'GĐ1 - Fullstack (7 tuần)'!$A$5:$A$95,A18,'GĐ1 - Fullstack (7 tuần)'!$C$5:$C$95,"Pre-class")</f>
        <v>0</v>
      </c>
      <c r="D18" s="14">
        <f>SUMIFS('GĐ1 - Fullstack (7 tuần)'!$E$5:$E$95,'GĐ1 - Fullstack (7 tuần)'!$A$5:$A$95,A18,'GĐ1 - Fullstack (7 tuần)'!$C$5:$C$95,"Buổi 1")</f>
        <v>180</v>
      </c>
      <c r="E18" s="14">
        <f>SUMIFS('GĐ1 - Fullstack (7 tuần)'!$E$5:$E$95,'GĐ1 - Fullstack (7 tuần)'!$A$5:$A$95,A18,'GĐ1 - Fullstack (7 tuần)'!$C$5:$C$95,"Buổi 2*")</f>
        <v>180</v>
      </c>
      <c r="F18" s="15">
        <f t="shared" si="0"/>
        <v>6</v>
      </c>
      <c r="G18" s="15">
        <f t="shared" si="1"/>
        <v>6</v>
      </c>
    </row>
    <row r="19" spans="1:7" x14ac:dyDescent="0.35">
      <c r="A19" s="16" t="s">
        <v>90</v>
      </c>
      <c r="B19" s="16"/>
      <c r="C19" s="17">
        <f>SUM(C12:C18)</f>
        <v>270</v>
      </c>
      <c r="D19" s="17">
        <f>SUM(D12:D18)</f>
        <v>1260</v>
      </c>
      <c r="E19" s="17">
        <f>SUM(E12:E18)</f>
        <v>1260</v>
      </c>
      <c r="F19" s="18">
        <f>SUM(F12:F18)</f>
        <v>42</v>
      </c>
      <c r="G19" s="18">
        <f>SUM(G12:G18)</f>
        <v>46.5</v>
      </c>
    </row>
    <row r="21" spans="1:7" x14ac:dyDescent="0.35">
      <c r="A21" s="10" t="s">
        <v>91</v>
      </c>
    </row>
    <row r="22" spans="1:7" ht="26" x14ac:dyDescent="0.35">
      <c r="A22" s="3" t="s">
        <v>3</v>
      </c>
      <c r="B22" s="3" t="s">
        <v>92</v>
      </c>
      <c r="C22" s="3" t="s">
        <v>93</v>
      </c>
      <c r="D22" s="3" t="s">
        <v>94</v>
      </c>
      <c r="E22" s="3" t="s">
        <v>95</v>
      </c>
      <c r="F22" s="3" t="s">
        <v>96</v>
      </c>
    </row>
    <row r="23" spans="1:7" x14ac:dyDescent="0.35">
      <c r="A23" s="13" t="s">
        <v>8</v>
      </c>
      <c r="B23" s="13">
        <f>COUNT(A12:A18)</f>
        <v>7</v>
      </c>
      <c r="C23" s="15">
        <f>F19</f>
        <v>42</v>
      </c>
      <c r="D23" s="15">
        <f>C19/60</f>
        <v>4.5</v>
      </c>
      <c r="E23" s="15">
        <f>C23+D23</f>
        <v>46.5</v>
      </c>
      <c r="F23" s="15">
        <f>B23/(52/12)</f>
        <v>1.6153846153846154</v>
      </c>
    </row>
    <row r="24" spans="1:7" x14ac:dyDescent="0.35">
      <c r="A24" s="13" t="s">
        <v>97</v>
      </c>
      <c r="B24" s="13">
        <f>COUNT('GĐ2 - AI SDLC (12 tuần)'!A5:A16)</f>
        <v>12</v>
      </c>
      <c r="C24" s="15">
        <f>B24*$B$5*$B$7</f>
        <v>72</v>
      </c>
      <c r="D24" s="15">
        <f>B24*$B$5*($B$6-$B$7)</f>
        <v>36</v>
      </c>
      <c r="E24" s="15">
        <f>C24+D24</f>
        <v>108</v>
      </c>
      <c r="F24" s="15">
        <f>B24/(52/12)</f>
        <v>2.7692307692307696</v>
      </c>
    </row>
    <row r="25" spans="1:7" x14ac:dyDescent="0.35">
      <c r="A25" s="13" t="s">
        <v>98</v>
      </c>
      <c r="B25" s="13">
        <f>COUNT('GĐ3 - Capstone &amp; OJT (7 tuần)'!A5:A11)</f>
        <v>7</v>
      </c>
      <c r="C25" s="15">
        <f>B25*$B$8</f>
        <v>63</v>
      </c>
      <c r="D25" s="15">
        <f>0</f>
        <v>0</v>
      </c>
      <c r="E25" s="15">
        <f>C25+D25</f>
        <v>63</v>
      </c>
      <c r="F25" s="15">
        <f>B25/(52/12)</f>
        <v>1.6153846153846154</v>
      </c>
    </row>
    <row r="26" spans="1:7" x14ac:dyDescent="0.35">
      <c r="A26" s="16" t="s">
        <v>99</v>
      </c>
      <c r="B26" s="16">
        <f>SUM(B23:B25)</f>
        <v>26</v>
      </c>
      <c r="C26" s="18">
        <f>SUM(C23:C25)</f>
        <v>177</v>
      </c>
      <c r="D26" s="18">
        <f>SUM(D23:D25)</f>
        <v>40.5</v>
      </c>
      <c r="E26" s="18">
        <f>SUM(E23:E25)</f>
        <v>217.5</v>
      </c>
      <c r="F26" s="18">
        <f>SUM(F23:F25)</f>
        <v>6</v>
      </c>
    </row>
    <row r="28" spans="1:7" x14ac:dyDescent="0.35">
      <c r="A28" s="10" t="s">
        <v>100</v>
      </c>
    </row>
    <row r="29" spans="1:7" ht="26" x14ac:dyDescent="0.35">
      <c r="A29" s="3" t="s">
        <v>101</v>
      </c>
      <c r="B29" s="3" t="s">
        <v>102</v>
      </c>
      <c r="C29" s="3" t="s">
        <v>103</v>
      </c>
      <c r="D29" s="3" t="s">
        <v>104</v>
      </c>
      <c r="E29" s="3" t="s">
        <v>105</v>
      </c>
    </row>
    <row r="30" spans="1:7" x14ac:dyDescent="0.35">
      <c r="A30" s="13" t="s">
        <v>106</v>
      </c>
      <c r="B30" s="13">
        <f>COUNTIF('So sánh cũ - mới'!$B$5:$B$41,"GĐ1")</f>
        <v>10</v>
      </c>
      <c r="C30" s="13">
        <f>B23</f>
        <v>7</v>
      </c>
      <c r="D30" s="13">
        <f>C30-B30</f>
        <v>-3</v>
      </c>
      <c r="E30" s="19">
        <f>IF(B30=0,0,-D30/B30)</f>
        <v>0.3</v>
      </c>
    </row>
    <row r="31" spans="1:7" x14ac:dyDescent="0.35">
      <c r="A31" s="13" t="s">
        <v>107</v>
      </c>
      <c r="B31" s="13">
        <f>COUNTIF('So sánh cũ - mới'!$B$5:$B$41,"GĐ2 M1")+COUNTIF('So sánh cũ - mới'!$B$5:$B$41,"GĐ2 M2")+COUNTIF('So sánh cũ - mới'!$B$5:$B$41,"GĐ2 M3")+COUNTIF('So sánh cũ - mới'!$B$5:$B$41,"GĐ2 M4")</f>
        <v>18</v>
      </c>
      <c r="C31" s="13">
        <f>B24</f>
        <v>12</v>
      </c>
      <c r="D31" s="13">
        <f>C31-B31</f>
        <v>-6</v>
      </c>
      <c r="E31" s="19">
        <f>IF(B31=0,0,-D31/B31)</f>
        <v>0.33333333333333331</v>
      </c>
    </row>
    <row r="32" spans="1:7" x14ac:dyDescent="0.35">
      <c r="A32" s="13" t="s">
        <v>108</v>
      </c>
      <c r="B32" s="13">
        <f>COUNTIF('So sánh cũ - mới'!$B$5:$B$41,"GĐ2 M5")+COUNTIF('So sánh cũ - mới'!$B$5:$B$41,"GĐ3 OJT")</f>
        <v>9</v>
      </c>
      <c r="C32" s="13">
        <f>B25</f>
        <v>7</v>
      </c>
      <c r="D32" s="13">
        <f>C32-B32</f>
        <v>-2</v>
      </c>
      <c r="E32" s="19">
        <f>IF(B32=0,0,-D32/B32)</f>
        <v>0.22222222222222221</v>
      </c>
    </row>
    <row r="33" spans="1:5" x14ac:dyDescent="0.35">
      <c r="A33" s="16" t="s">
        <v>99</v>
      </c>
      <c r="B33" s="16">
        <f>SUM(B30:B32)</f>
        <v>37</v>
      </c>
      <c r="C33" s="16">
        <f>SUM(C30:C32)</f>
        <v>26</v>
      </c>
      <c r="D33" s="16">
        <f>SUM(D30:D32)</f>
        <v>-11</v>
      </c>
      <c r="E33" s="20">
        <f>IF(B33=0,0,-D33/B33)</f>
        <v>0.29729729729729731</v>
      </c>
    </row>
    <row r="35" spans="1:5" x14ac:dyDescent="0.35">
      <c r="A35" s="2" t="s">
        <v>109</v>
      </c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5"/>
  <sheetViews>
    <sheetView workbookViewId="0">
      <pane ySplit="4" topLeftCell="A5" activePane="bottomLeft" state="frozen"/>
      <selection pane="bottomLeft"/>
    </sheetView>
  </sheetViews>
  <sheetFormatPr defaultRowHeight="14.5" x14ac:dyDescent="0.35"/>
  <cols>
    <col min="1" max="1" width="7" customWidth="1"/>
    <col min="2" max="2" width="30" customWidth="1"/>
    <col min="3" max="3" width="12" customWidth="1"/>
    <col min="4" max="4" width="55" customWidth="1"/>
    <col min="5" max="5" width="8" customWidth="1"/>
    <col min="6" max="6" width="46" customWidth="1"/>
  </cols>
  <sheetData>
    <row r="1" spans="1:6" ht="18" x14ac:dyDescent="0.4">
      <c r="A1" s="1" t="s">
        <v>110</v>
      </c>
    </row>
    <row r="2" spans="1:6" x14ac:dyDescent="0.35">
      <c r="A2" s="2" t="s">
        <v>111</v>
      </c>
    </row>
    <row r="4" spans="1:6" x14ac:dyDescent="0.35">
      <c r="A4" s="3" t="s">
        <v>2</v>
      </c>
      <c r="B4" s="3" t="s">
        <v>5</v>
      </c>
      <c r="C4" s="3" t="s">
        <v>112</v>
      </c>
      <c r="D4" s="3" t="s">
        <v>113</v>
      </c>
      <c r="E4" s="3" t="s">
        <v>114</v>
      </c>
      <c r="F4" s="3" t="s">
        <v>115</v>
      </c>
    </row>
    <row r="5" spans="1:6" ht="26" x14ac:dyDescent="0.35">
      <c r="A5" s="21">
        <v>1</v>
      </c>
      <c r="B5" s="22" t="s">
        <v>9</v>
      </c>
      <c r="C5" s="22" t="s">
        <v>116</v>
      </c>
      <c r="D5" s="22" t="s">
        <v>117</v>
      </c>
      <c r="E5" s="22"/>
      <c r="F5" s="22" t="s">
        <v>118</v>
      </c>
    </row>
    <row r="6" spans="1:6" x14ac:dyDescent="0.35">
      <c r="A6" s="23">
        <v>1</v>
      </c>
      <c r="B6" s="24" t="s">
        <v>9</v>
      </c>
      <c r="C6" s="24" t="s">
        <v>119</v>
      </c>
      <c r="D6" s="24" t="s">
        <v>120</v>
      </c>
      <c r="E6" s="23">
        <v>15</v>
      </c>
      <c r="F6" s="24" t="s">
        <v>121</v>
      </c>
    </row>
    <row r="7" spans="1:6" x14ac:dyDescent="0.35">
      <c r="A7" s="23">
        <v>1</v>
      </c>
      <c r="B7" s="24" t="s">
        <v>9</v>
      </c>
      <c r="C7" s="24" t="s">
        <v>119</v>
      </c>
      <c r="D7" s="24" t="s">
        <v>122</v>
      </c>
      <c r="E7" s="23">
        <v>20</v>
      </c>
      <c r="F7" s="24" t="s">
        <v>123</v>
      </c>
    </row>
    <row r="8" spans="1:6" x14ac:dyDescent="0.35">
      <c r="A8" s="23">
        <v>1</v>
      </c>
      <c r="B8" s="24" t="s">
        <v>9</v>
      </c>
      <c r="C8" s="24" t="s">
        <v>119</v>
      </c>
      <c r="D8" s="24" t="s">
        <v>124</v>
      </c>
      <c r="E8" s="23">
        <v>5</v>
      </c>
      <c r="F8" s="24" t="s">
        <v>125</v>
      </c>
    </row>
    <row r="9" spans="1:6" x14ac:dyDescent="0.35">
      <c r="A9" s="23">
        <v>1</v>
      </c>
      <c r="B9" s="24" t="s">
        <v>9</v>
      </c>
      <c r="C9" s="24" t="s">
        <v>119</v>
      </c>
      <c r="D9" s="24" t="s">
        <v>126</v>
      </c>
      <c r="E9" s="23">
        <v>5</v>
      </c>
      <c r="F9" s="24" t="s">
        <v>127</v>
      </c>
    </row>
    <row r="10" spans="1:6" x14ac:dyDescent="0.35">
      <c r="A10" s="23">
        <v>1</v>
      </c>
      <c r="B10" s="24" t="s">
        <v>9</v>
      </c>
      <c r="C10" s="24" t="s">
        <v>128</v>
      </c>
      <c r="D10" s="24" t="s">
        <v>129</v>
      </c>
      <c r="E10" s="23">
        <v>15</v>
      </c>
      <c r="F10" s="24" t="s">
        <v>130</v>
      </c>
    </row>
    <row r="11" spans="1:6" x14ac:dyDescent="0.35">
      <c r="A11" s="23">
        <v>1</v>
      </c>
      <c r="B11" s="24" t="s">
        <v>9</v>
      </c>
      <c r="C11" s="24" t="s">
        <v>128</v>
      </c>
      <c r="D11" s="24" t="s">
        <v>131</v>
      </c>
      <c r="E11" s="23">
        <v>30</v>
      </c>
      <c r="F11" s="24" t="s">
        <v>132</v>
      </c>
    </row>
    <row r="12" spans="1:6" x14ac:dyDescent="0.35">
      <c r="A12" s="23">
        <v>1</v>
      </c>
      <c r="B12" s="24" t="s">
        <v>9</v>
      </c>
      <c r="C12" s="24" t="s">
        <v>128</v>
      </c>
      <c r="D12" s="24" t="s">
        <v>133</v>
      </c>
      <c r="E12" s="23">
        <v>45</v>
      </c>
      <c r="F12" s="24" t="s">
        <v>134</v>
      </c>
    </row>
    <row r="13" spans="1:6" x14ac:dyDescent="0.35">
      <c r="A13" s="23">
        <v>1</v>
      </c>
      <c r="B13" s="24" t="s">
        <v>9</v>
      </c>
      <c r="C13" s="24" t="s">
        <v>128</v>
      </c>
      <c r="D13" s="24" t="s">
        <v>135</v>
      </c>
      <c r="E13" s="23">
        <v>90</v>
      </c>
      <c r="F13" s="24" t="s">
        <v>136</v>
      </c>
    </row>
    <row r="14" spans="1:6" x14ac:dyDescent="0.35">
      <c r="A14" s="23">
        <v>1</v>
      </c>
      <c r="B14" s="24" t="s">
        <v>9</v>
      </c>
      <c r="C14" s="24" t="s">
        <v>137</v>
      </c>
      <c r="D14" s="24" t="s">
        <v>138</v>
      </c>
      <c r="E14" s="23">
        <v>15</v>
      </c>
      <c r="F14" s="24" t="s">
        <v>139</v>
      </c>
    </row>
    <row r="15" spans="1:6" x14ac:dyDescent="0.35">
      <c r="A15" s="23">
        <v>1</v>
      </c>
      <c r="B15" s="24" t="s">
        <v>9</v>
      </c>
      <c r="C15" s="24" t="s">
        <v>137</v>
      </c>
      <c r="D15" s="24" t="s">
        <v>140</v>
      </c>
      <c r="E15" s="23">
        <v>120</v>
      </c>
      <c r="F15" s="24" t="s">
        <v>141</v>
      </c>
    </row>
    <row r="16" spans="1:6" x14ac:dyDescent="0.35">
      <c r="A16" s="23">
        <v>1</v>
      </c>
      <c r="B16" s="24" t="s">
        <v>9</v>
      </c>
      <c r="C16" s="24" t="s">
        <v>137</v>
      </c>
      <c r="D16" s="24" t="s">
        <v>142</v>
      </c>
      <c r="E16" s="23">
        <v>45</v>
      </c>
      <c r="F16" s="24" t="s">
        <v>143</v>
      </c>
    </row>
    <row r="17" spans="1:6" ht="64" customHeight="1" x14ac:dyDescent="0.35">
      <c r="A17" s="23">
        <v>1</v>
      </c>
      <c r="B17" s="24" t="s">
        <v>9</v>
      </c>
      <c r="C17" s="24" t="s">
        <v>144</v>
      </c>
      <c r="D17" s="24" t="s">
        <v>145</v>
      </c>
      <c r="E17" s="24"/>
      <c r="F17" s="24"/>
    </row>
    <row r="18" spans="1:6" ht="26" x14ac:dyDescent="0.35">
      <c r="A18" s="21">
        <v>2</v>
      </c>
      <c r="B18" s="22" t="s">
        <v>11</v>
      </c>
      <c r="C18" s="22" t="s">
        <v>116</v>
      </c>
      <c r="D18" s="22" t="s">
        <v>146</v>
      </c>
      <c r="E18" s="22"/>
      <c r="F18" s="22" t="s">
        <v>147</v>
      </c>
    </row>
    <row r="19" spans="1:6" ht="25" x14ac:dyDescent="0.35">
      <c r="A19" s="23">
        <v>2</v>
      </c>
      <c r="B19" s="24" t="s">
        <v>11</v>
      </c>
      <c r="C19" s="24" t="s">
        <v>119</v>
      </c>
      <c r="D19" s="24" t="s">
        <v>148</v>
      </c>
      <c r="E19" s="23">
        <v>15</v>
      </c>
      <c r="F19" s="24"/>
    </row>
    <row r="20" spans="1:6" ht="25" x14ac:dyDescent="0.35">
      <c r="A20" s="23">
        <v>2</v>
      </c>
      <c r="B20" s="24" t="s">
        <v>11</v>
      </c>
      <c r="C20" s="24" t="s">
        <v>119</v>
      </c>
      <c r="D20" s="24" t="s">
        <v>149</v>
      </c>
      <c r="E20" s="23">
        <v>20</v>
      </c>
      <c r="F20" s="24" t="s">
        <v>150</v>
      </c>
    </row>
    <row r="21" spans="1:6" ht="25" x14ac:dyDescent="0.35">
      <c r="A21" s="23">
        <v>2</v>
      </c>
      <c r="B21" s="24" t="s">
        <v>11</v>
      </c>
      <c r="C21" s="24" t="s">
        <v>119</v>
      </c>
      <c r="D21" s="24" t="s">
        <v>151</v>
      </c>
      <c r="E21" s="23">
        <v>5</v>
      </c>
      <c r="F21" s="24" t="s">
        <v>152</v>
      </c>
    </row>
    <row r="22" spans="1:6" ht="25" x14ac:dyDescent="0.35">
      <c r="A22" s="23">
        <v>2</v>
      </c>
      <c r="B22" s="24" t="s">
        <v>11</v>
      </c>
      <c r="C22" s="24" t="s">
        <v>119</v>
      </c>
      <c r="D22" s="24" t="s">
        <v>153</v>
      </c>
      <c r="E22" s="23">
        <v>5</v>
      </c>
      <c r="F22" s="24" t="s">
        <v>154</v>
      </c>
    </row>
    <row r="23" spans="1:6" ht="25" x14ac:dyDescent="0.35">
      <c r="A23" s="23">
        <v>2</v>
      </c>
      <c r="B23" s="24" t="s">
        <v>11</v>
      </c>
      <c r="C23" s="24" t="s">
        <v>128</v>
      </c>
      <c r="D23" s="24" t="s">
        <v>129</v>
      </c>
      <c r="E23" s="23">
        <v>15</v>
      </c>
      <c r="F23" s="24"/>
    </row>
    <row r="24" spans="1:6" ht="25" x14ac:dyDescent="0.35">
      <c r="A24" s="23">
        <v>2</v>
      </c>
      <c r="B24" s="24" t="s">
        <v>11</v>
      </c>
      <c r="C24" s="24" t="s">
        <v>128</v>
      </c>
      <c r="D24" s="24" t="s">
        <v>155</v>
      </c>
      <c r="E24" s="23">
        <v>30</v>
      </c>
      <c r="F24" s="24"/>
    </row>
    <row r="25" spans="1:6" ht="25" x14ac:dyDescent="0.35">
      <c r="A25" s="23">
        <v>2</v>
      </c>
      <c r="B25" s="24" t="s">
        <v>11</v>
      </c>
      <c r="C25" s="24" t="s">
        <v>128</v>
      </c>
      <c r="D25" s="24" t="s">
        <v>133</v>
      </c>
      <c r="E25" s="23">
        <v>45</v>
      </c>
      <c r="F25" s="24" t="s">
        <v>156</v>
      </c>
    </row>
    <row r="26" spans="1:6" ht="25" x14ac:dyDescent="0.35">
      <c r="A26" s="23">
        <v>2</v>
      </c>
      <c r="B26" s="24" t="s">
        <v>11</v>
      </c>
      <c r="C26" s="24" t="s">
        <v>128</v>
      </c>
      <c r="D26" s="24" t="s">
        <v>157</v>
      </c>
      <c r="E26" s="23">
        <v>90</v>
      </c>
      <c r="F26" s="24" t="s">
        <v>158</v>
      </c>
    </row>
    <row r="27" spans="1:6" ht="25" x14ac:dyDescent="0.35">
      <c r="A27" s="23">
        <v>2</v>
      </c>
      <c r="B27" s="24" t="s">
        <v>11</v>
      </c>
      <c r="C27" s="24" t="s">
        <v>137</v>
      </c>
      <c r="D27" s="24" t="s">
        <v>138</v>
      </c>
      <c r="E27" s="23">
        <v>15</v>
      </c>
      <c r="F27" s="24"/>
    </row>
    <row r="28" spans="1:6" ht="25" x14ac:dyDescent="0.35">
      <c r="A28" s="23">
        <v>2</v>
      </c>
      <c r="B28" s="24" t="s">
        <v>11</v>
      </c>
      <c r="C28" s="24" t="s">
        <v>137</v>
      </c>
      <c r="D28" s="24" t="s">
        <v>159</v>
      </c>
      <c r="E28" s="23">
        <v>120</v>
      </c>
      <c r="F28" s="24" t="s">
        <v>160</v>
      </c>
    </row>
    <row r="29" spans="1:6" ht="25" x14ac:dyDescent="0.35">
      <c r="A29" s="23">
        <v>2</v>
      </c>
      <c r="B29" s="24" t="s">
        <v>11</v>
      </c>
      <c r="C29" s="24" t="s">
        <v>137</v>
      </c>
      <c r="D29" s="24" t="s">
        <v>142</v>
      </c>
      <c r="E29" s="23">
        <v>45</v>
      </c>
      <c r="F29" s="24" t="s">
        <v>161</v>
      </c>
    </row>
    <row r="30" spans="1:6" ht="64" customHeight="1" x14ac:dyDescent="0.35">
      <c r="A30" s="23">
        <v>2</v>
      </c>
      <c r="B30" s="24" t="s">
        <v>11</v>
      </c>
      <c r="C30" s="24" t="s">
        <v>144</v>
      </c>
      <c r="D30" s="24" t="s">
        <v>162</v>
      </c>
      <c r="E30" s="24"/>
      <c r="F30" s="24"/>
    </row>
    <row r="31" spans="1:6" ht="26" x14ac:dyDescent="0.35">
      <c r="A31" s="21">
        <v>3</v>
      </c>
      <c r="B31" s="22" t="s">
        <v>13</v>
      </c>
      <c r="C31" s="22" t="s">
        <v>116</v>
      </c>
      <c r="D31" s="22" t="s">
        <v>163</v>
      </c>
      <c r="E31" s="22"/>
      <c r="F31" s="22" t="s">
        <v>164</v>
      </c>
    </row>
    <row r="32" spans="1:6" ht="25" x14ac:dyDescent="0.35">
      <c r="A32" s="23">
        <v>3</v>
      </c>
      <c r="B32" s="24" t="s">
        <v>13</v>
      </c>
      <c r="C32" s="24" t="s">
        <v>119</v>
      </c>
      <c r="D32" s="24" t="s">
        <v>165</v>
      </c>
      <c r="E32" s="23">
        <v>10</v>
      </c>
      <c r="F32" s="24"/>
    </row>
    <row r="33" spans="1:6" ht="25" x14ac:dyDescent="0.35">
      <c r="A33" s="23">
        <v>3</v>
      </c>
      <c r="B33" s="24" t="s">
        <v>13</v>
      </c>
      <c r="C33" s="24" t="s">
        <v>119</v>
      </c>
      <c r="D33" s="24" t="s">
        <v>166</v>
      </c>
      <c r="E33" s="23">
        <v>10</v>
      </c>
      <c r="F33" s="24" t="s">
        <v>167</v>
      </c>
    </row>
    <row r="34" spans="1:6" ht="25" x14ac:dyDescent="0.35">
      <c r="A34" s="23">
        <v>3</v>
      </c>
      <c r="B34" s="24" t="s">
        <v>13</v>
      </c>
      <c r="C34" s="24" t="s">
        <v>119</v>
      </c>
      <c r="D34" s="24" t="s">
        <v>168</v>
      </c>
      <c r="E34" s="23">
        <v>15</v>
      </c>
      <c r="F34" s="24" t="s">
        <v>169</v>
      </c>
    </row>
    <row r="35" spans="1:6" ht="25" x14ac:dyDescent="0.35">
      <c r="A35" s="23">
        <v>3</v>
      </c>
      <c r="B35" s="24" t="s">
        <v>13</v>
      </c>
      <c r="C35" s="24" t="s">
        <v>119</v>
      </c>
      <c r="D35" s="24" t="s">
        <v>170</v>
      </c>
      <c r="E35" s="23">
        <v>5</v>
      </c>
      <c r="F35" s="24" t="s">
        <v>171</v>
      </c>
    </row>
    <row r="36" spans="1:6" ht="25" x14ac:dyDescent="0.35">
      <c r="A36" s="23">
        <v>3</v>
      </c>
      <c r="B36" s="24" t="s">
        <v>13</v>
      </c>
      <c r="C36" s="24" t="s">
        <v>119</v>
      </c>
      <c r="D36" s="24" t="s">
        <v>172</v>
      </c>
      <c r="E36" s="23">
        <v>5</v>
      </c>
      <c r="F36" s="24" t="s">
        <v>154</v>
      </c>
    </row>
    <row r="37" spans="1:6" ht="25" x14ac:dyDescent="0.35">
      <c r="A37" s="23">
        <v>3</v>
      </c>
      <c r="B37" s="24" t="s">
        <v>13</v>
      </c>
      <c r="C37" s="24" t="s">
        <v>128</v>
      </c>
      <c r="D37" s="24" t="s">
        <v>129</v>
      </c>
      <c r="E37" s="23">
        <v>15</v>
      </c>
      <c r="F37" s="24"/>
    </row>
    <row r="38" spans="1:6" ht="25" x14ac:dyDescent="0.35">
      <c r="A38" s="23">
        <v>3</v>
      </c>
      <c r="B38" s="24" t="s">
        <v>13</v>
      </c>
      <c r="C38" s="24" t="s">
        <v>128</v>
      </c>
      <c r="D38" s="24" t="s">
        <v>173</v>
      </c>
      <c r="E38" s="23">
        <v>30</v>
      </c>
      <c r="F38" s="24"/>
    </row>
    <row r="39" spans="1:6" ht="25" x14ac:dyDescent="0.35">
      <c r="A39" s="23">
        <v>3</v>
      </c>
      <c r="B39" s="24" t="s">
        <v>13</v>
      </c>
      <c r="C39" s="24" t="s">
        <v>128</v>
      </c>
      <c r="D39" s="24" t="s">
        <v>133</v>
      </c>
      <c r="E39" s="23">
        <v>45</v>
      </c>
      <c r="F39" s="24" t="s">
        <v>174</v>
      </c>
    </row>
    <row r="40" spans="1:6" ht="25" x14ac:dyDescent="0.35">
      <c r="A40" s="23">
        <v>3</v>
      </c>
      <c r="B40" s="24" t="s">
        <v>13</v>
      </c>
      <c r="C40" s="24" t="s">
        <v>128</v>
      </c>
      <c r="D40" s="24" t="s">
        <v>175</v>
      </c>
      <c r="E40" s="23">
        <v>90</v>
      </c>
      <c r="F40" s="24" t="s">
        <v>176</v>
      </c>
    </row>
    <row r="41" spans="1:6" ht="25" x14ac:dyDescent="0.35">
      <c r="A41" s="23">
        <v>3</v>
      </c>
      <c r="B41" s="24" t="s">
        <v>13</v>
      </c>
      <c r="C41" s="24" t="s">
        <v>137</v>
      </c>
      <c r="D41" s="24" t="s">
        <v>138</v>
      </c>
      <c r="E41" s="23">
        <v>15</v>
      </c>
      <c r="F41" s="24"/>
    </row>
    <row r="42" spans="1:6" ht="25" x14ac:dyDescent="0.35">
      <c r="A42" s="23">
        <v>3</v>
      </c>
      <c r="B42" s="24" t="s">
        <v>13</v>
      </c>
      <c r="C42" s="24" t="s">
        <v>137</v>
      </c>
      <c r="D42" s="24" t="s">
        <v>177</v>
      </c>
      <c r="E42" s="23">
        <v>120</v>
      </c>
      <c r="F42" s="24" t="s">
        <v>178</v>
      </c>
    </row>
    <row r="43" spans="1:6" ht="25" x14ac:dyDescent="0.35">
      <c r="A43" s="23">
        <v>3</v>
      </c>
      <c r="B43" s="24" t="s">
        <v>13</v>
      </c>
      <c r="C43" s="24" t="s">
        <v>137</v>
      </c>
      <c r="D43" s="24" t="s">
        <v>142</v>
      </c>
      <c r="E43" s="23">
        <v>45</v>
      </c>
      <c r="F43" s="24"/>
    </row>
    <row r="44" spans="1:6" ht="64" customHeight="1" x14ac:dyDescent="0.35">
      <c r="A44" s="23">
        <v>3</v>
      </c>
      <c r="B44" s="24" t="s">
        <v>13</v>
      </c>
      <c r="C44" s="24" t="s">
        <v>144</v>
      </c>
      <c r="D44" s="24" t="s">
        <v>179</v>
      </c>
      <c r="E44" s="24"/>
      <c r="F44" s="24"/>
    </row>
    <row r="45" spans="1:6" ht="26" x14ac:dyDescent="0.35">
      <c r="A45" s="21">
        <v>4</v>
      </c>
      <c r="B45" s="22" t="s">
        <v>15</v>
      </c>
      <c r="C45" s="22" t="s">
        <v>116</v>
      </c>
      <c r="D45" s="22" t="s">
        <v>180</v>
      </c>
      <c r="E45" s="22"/>
      <c r="F45" s="22" t="s">
        <v>181</v>
      </c>
    </row>
    <row r="46" spans="1:6" x14ac:dyDescent="0.35">
      <c r="A46" s="23">
        <v>4</v>
      </c>
      <c r="B46" s="24" t="s">
        <v>15</v>
      </c>
      <c r="C46" s="24" t="s">
        <v>119</v>
      </c>
      <c r="D46" s="24" t="s">
        <v>182</v>
      </c>
      <c r="E46" s="23">
        <v>15</v>
      </c>
      <c r="F46" s="24" t="s">
        <v>183</v>
      </c>
    </row>
    <row r="47" spans="1:6" x14ac:dyDescent="0.35">
      <c r="A47" s="23">
        <v>4</v>
      </c>
      <c r="B47" s="24" t="s">
        <v>15</v>
      </c>
      <c r="C47" s="24" t="s">
        <v>119</v>
      </c>
      <c r="D47" s="24" t="s">
        <v>184</v>
      </c>
      <c r="E47" s="23">
        <v>10</v>
      </c>
      <c r="F47" s="24" t="s">
        <v>185</v>
      </c>
    </row>
    <row r="48" spans="1:6" x14ac:dyDescent="0.35">
      <c r="A48" s="23">
        <v>4</v>
      </c>
      <c r="B48" s="24" t="s">
        <v>15</v>
      </c>
      <c r="C48" s="24" t="s">
        <v>119</v>
      </c>
      <c r="D48" s="24" t="s">
        <v>186</v>
      </c>
      <c r="E48" s="23">
        <v>10</v>
      </c>
      <c r="F48" s="24" t="s">
        <v>187</v>
      </c>
    </row>
    <row r="49" spans="1:6" x14ac:dyDescent="0.35">
      <c r="A49" s="23">
        <v>4</v>
      </c>
      <c r="B49" s="24" t="s">
        <v>15</v>
      </c>
      <c r="C49" s="24" t="s">
        <v>119</v>
      </c>
      <c r="D49" s="24" t="s">
        <v>188</v>
      </c>
      <c r="E49" s="23">
        <v>5</v>
      </c>
      <c r="F49" s="24"/>
    </row>
    <row r="50" spans="1:6" x14ac:dyDescent="0.35">
      <c r="A50" s="23">
        <v>4</v>
      </c>
      <c r="B50" s="24" t="s">
        <v>15</v>
      </c>
      <c r="C50" s="24" t="s">
        <v>119</v>
      </c>
      <c r="D50" s="24" t="s">
        <v>189</v>
      </c>
      <c r="E50" s="23">
        <v>5</v>
      </c>
      <c r="F50" s="24" t="s">
        <v>154</v>
      </c>
    </row>
    <row r="51" spans="1:6" x14ac:dyDescent="0.35">
      <c r="A51" s="23">
        <v>4</v>
      </c>
      <c r="B51" s="24" t="s">
        <v>15</v>
      </c>
      <c r="C51" s="24" t="s">
        <v>128</v>
      </c>
      <c r="D51" s="24" t="s">
        <v>129</v>
      </c>
      <c r="E51" s="23">
        <v>15</v>
      </c>
      <c r="F51" s="24"/>
    </row>
    <row r="52" spans="1:6" x14ac:dyDescent="0.35">
      <c r="A52" s="23">
        <v>4</v>
      </c>
      <c r="B52" s="24" t="s">
        <v>15</v>
      </c>
      <c r="C52" s="24" t="s">
        <v>128</v>
      </c>
      <c r="D52" s="24" t="s">
        <v>190</v>
      </c>
      <c r="E52" s="23">
        <v>30</v>
      </c>
      <c r="F52" s="24"/>
    </row>
    <row r="53" spans="1:6" x14ac:dyDescent="0.35">
      <c r="A53" s="23">
        <v>4</v>
      </c>
      <c r="B53" s="24" t="s">
        <v>15</v>
      </c>
      <c r="C53" s="24" t="s">
        <v>128</v>
      </c>
      <c r="D53" s="24" t="s">
        <v>133</v>
      </c>
      <c r="E53" s="23">
        <v>45</v>
      </c>
      <c r="F53" s="24" t="s">
        <v>191</v>
      </c>
    </row>
    <row r="54" spans="1:6" x14ac:dyDescent="0.35">
      <c r="A54" s="23">
        <v>4</v>
      </c>
      <c r="B54" s="24" t="s">
        <v>15</v>
      </c>
      <c r="C54" s="24" t="s">
        <v>128</v>
      </c>
      <c r="D54" s="24" t="s">
        <v>192</v>
      </c>
      <c r="E54" s="23">
        <v>90</v>
      </c>
      <c r="F54" s="24" t="s">
        <v>193</v>
      </c>
    </row>
    <row r="55" spans="1:6" x14ac:dyDescent="0.35">
      <c r="A55" s="23">
        <v>4</v>
      </c>
      <c r="B55" s="24" t="s">
        <v>15</v>
      </c>
      <c r="C55" s="24" t="s">
        <v>137</v>
      </c>
      <c r="D55" s="24" t="s">
        <v>138</v>
      </c>
      <c r="E55" s="23">
        <v>15</v>
      </c>
      <c r="F55" s="24"/>
    </row>
    <row r="56" spans="1:6" x14ac:dyDescent="0.35">
      <c r="A56" s="23">
        <v>4</v>
      </c>
      <c r="B56" s="24" t="s">
        <v>15</v>
      </c>
      <c r="C56" s="24" t="s">
        <v>137</v>
      </c>
      <c r="D56" s="24" t="s">
        <v>194</v>
      </c>
      <c r="E56" s="23">
        <v>120</v>
      </c>
      <c r="F56" s="24" t="s">
        <v>195</v>
      </c>
    </row>
    <row r="57" spans="1:6" x14ac:dyDescent="0.35">
      <c r="A57" s="23">
        <v>4</v>
      </c>
      <c r="B57" s="24" t="s">
        <v>15</v>
      </c>
      <c r="C57" s="24" t="s">
        <v>137</v>
      </c>
      <c r="D57" s="24" t="s">
        <v>142</v>
      </c>
      <c r="E57" s="23">
        <v>45</v>
      </c>
      <c r="F57" s="24" t="s">
        <v>196</v>
      </c>
    </row>
    <row r="58" spans="1:6" ht="64" customHeight="1" x14ac:dyDescent="0.35">
      <c r="A58" s="23">
        <v>4</v>
      </c>
      <c r="B58" s="24" t="s">
        <v>15</v>
      </c>
      <c r="C58" s="24" t="s">
        <v>144</v>
      </c>
      <c r="D58" s="24" t="s">
        <v>197</v>
      </c>
      <c r="E58" s="24"/>
      <c r="F58" s="24"/>
    </row>
    <row r="59" spans="1:6" x14ac:dyDescent="0.35">
      <c r="A59" s="21">
        <v>5</v>
      </c>
      <c r="B59" s="22" t="s">
        <v>17</v>
      </c>
      <c r="C59" s="22" t="s">
        <v>116</v>
      </c>
      <c r="D59" s="22" t="s">
        <v>198</v>
      </c>
      <c r="E59" s="22"/>
      <c r="F59" s="22" t="s">
        <v>199</v>
      </c>
    </row>
    <row r="60" spans="1:6" x14ac:dyDescent="0.35">
      <c r="A60" s="23">
        <v>5</v>
      </c>
      <c r="B60" s="24" t="s">
        <v>17</v>
      </c>
      <c r="C60" s="24" t="s">
        <v>119</v>
      </c>
      <c r="D60" s="24" t="s">
        <v>200</v>
      </c>
      <c r="E60" s="23">
        <v>10</v>
      </c>
      <c r="F60" s="24"/>
    </row>
    <row r="61" spans="1:6" x14ac:dyDescent="0.35">
      <c r="A61" s="23">
        <v>5</v>
      </c>
      <c r="B61" s="24" t="s">
        <v>17</v>
      </c>
      <c r="C61" s="24" t="s">
        <v>119</v>
      </c>
      <c r="D61" s="24" t="s">
        <v>201</v>
      </c>
      <c r="E61" s="23">
        <v>15</v>
      </c>
      <c r="F61" s="24"/>
    </row>
    <row r="62" spans="1:6" x14ac:dyDescent="0.35">
      <c r="A62" s="23">
        <v>5</v>
      </c>
      <c r="B62" s="24" t="s">
        <v>17</v>
      </c>
      <c r="C62" s="24" t="s">
        <v>119</v>
      </c>
      <c r="D62" s="24" t="s">
        <v>202</v>
      </c>
      <c r="E62" s="23">
        <v>10</v>
      </c>
      <c r="F62" s="24"/>
    </row>
    <row r="63" spans="1:6" x14ac:dyDescent="0.35">
      <c r="A63" s="23">
        <v>5</v>
      </c>
      <c r="B63" s="24" t="s">
        <v>17</v>
      </c>
      <c r="C63" s="24" t="s">
        <v>119</v>
      </c>
      <c r="D63" s="24" t="s">
        <v>203</v>
      </c>
      <c r="E63" s="23">
        <v>5</v>
      </c>
      <c r="F63" s="24"/>
    </row>
    <row r="64" spans="1:6" x14ac:dyDescent="0.35">
      <c r="A64" s="23">
        <v>5</v>
      </c>
      <c r="B64" s="24" t="s">
        <v>17</v>
      </c>
      <c r="C64" s="24" t="s">
        <v>119</v>
      </c>
      <c r="D64" s="24" t="s">
        <v>204</v>
      </c>
      <c r="E64" s="23">
        <v>5</v>
      </c>
      <c r="F64" s="24" t="s">
        <v>154</v>
      </c>
    </row>
    <row r="65" spans="1:6" x14ac:dyDescent="0.35">
      <c r="A65" s="23">
        <v>5</v>
      </c>
      <c r="B65" s="24" t="s">
        <v>17</v>
      </c>
      <c r="C65" s="24" t="s">
        <v>128</v>
      </c>
      <c r="D65" s="24" t="s">
        <v>129</v>
      </c>
      <c r="E65" s="23">
        <v>15</v>
      </c>
      <c r="F65" s="24"/>
    </row>
    <row r="66" spans="1:6" x14ac:dyDescent="0.35">
      <c r="A66" s="23">
        <v>5</v>
      </c>
      <c r="B66" s="24" t="s">
        <v>17</v>
      </c>
      <c r="C66" s="24" t="s">
        <v>128</v>
      </c>
      <c r="D66" s="24" t="s">
        <v>205</v>
      </c>
      <c r="E66" s="23">
        <v>30</v>
      </c>
      <c r="F66" s="24"/>
    </row>
    <row r="67" spans="1:6" x14ac:dyDescent="0.35">
      <c r="A67" s="23">
        <v>5</v>
      </c>
      <c r="B67" s="24" t="s">
        <v>17</v>
      </c>
      <c r="C67" s="24" t="s">
        <v>128</v>
      </c>
      <c r="D67" s="24" t="s">
        <v>133</v>
      </c>
      <c r="E67" s="23">
        <v>45</v>
      </c>
      <c r="F67" s="24" t="s">
        <v>206</v>
      </c>
    </row>
    <row r="68" spans="1:6" x14ac:dyDescent="0.35">
      <c r="A68" s="23">
        <v>5</v>
      </c>
      <c r="B68" s="24" t="s">
        <v>17</v>
      </c>
      <c r="C68" s="24" t="s">
        <v>128</v>
      </c>
      <c r="D68" s="24" t="s">
        <v>207</v>
      </c>
      <c r="E68" s="23">
        <v>90</v>
      </c>
      <c r="F68" s="24" t="s">
        <v>208</v>
      </c>
    </row>
    <row r="69" spans="1:6" x14ac:dyDescent="0.35">
      <c r="A69" s="23">
        <v>5</v>
      </c>
      <c r="B69" s="24" t="s">
        <v>17</v>
      </c>
      <c r="C69" s="24" t="s">
        <v>137</v>
      </c>
      <c r="D69" s="24" t="s">
        <v>138</v>
      </c>
      <c r="E69" s="23">
        <v>15</v>
      </c>
      <c r="F69" s="24"/>
    </row>
    <row r="70" spans="1:6" x14ac:dyDescent="0.35">
      <c r="A70" s="23">
        <v>5</v>
      </c>
      <c r="B70" s="24" t="s">
        <v>17</v>
      </c>
      <c r="C70" s="24" t="s">
        <v>137</v>
      </c>
      <c r="D70" s="24" t="s">
        <v>209</v>
      </c>
      <c r="E70" s="23">
        <v>120</v>
      </c>
      <c r="F70" s="24" t="s">
        <v>210</v>
      </c>
    </row>
    <row r="71" spans="1:6" x14ac:dyDescent="0.35">
      <c r="A71" s="23">
        <v>5</v>
      </c>
      <c r="B71" s="24" t="s">
        <v>17</v>
      </c>
      <c r="C71" s="24" t="s">
        <v>137</v>
      </c>
      <c r="D71" s="24" t="s">
        <v>142</v>
      </c>
      <c r="E71" s="23">
        <v>45</v>
      </c>
      <c r="F71" s="24"/>
    </row>
    <row r="72" spans="1:6" ht="64" customHeight="1" x14ac:dyDescent="0.35">
      <c r="A72" s="23">
        <v>5</v>
      </c>
      <c r="B72" s="24" t="s">
        <v>17</v>
      </c>
      <c r="C72" s="24" t="s">
        <v>144</v>
      </c>
      <c r="D72" s="24" t="s">
        <v>211</v>
      </c>
      <c r="E72" s="24"/>
      <c r="F72" s="24"/>
    </row>
    <row r="73" spans="1:6" ht="26" x14ac:dyDescent="0.35">
      <c r="A73" s="21">
        <v>6</v>
      </c>
      <c r="B73" s="22" t="s">
        <v>19</v>
      </c>
      <c r="C73" s="22" t="s">
        <v>116</v>
      </c>
      <c r="D73" s="22" t="s">
        <v>212</v>
      </c>
      <c r="E73" s="22"/>
      <c r="F73" s="22" t="s">
        <v>213</v>
      </c>
    </row>
    <row r="74" spans="1:6" x14ac:dyDescent="0.35">
      <c r="A74" s="23">
        <v>6</v>
      </c>
      <c r="B74" s="24" t="s">
        <v>19</v>
      </c>
      <c r="C74" s="24" t="s">
        <v>119</v>
      </c>
      <c r="D74" s="24" t="s">
        <v>214</v>
      </c>
      <c r="E74" s="23">
        <v>10</v>
      </c>
      <c r="F74" s="24"/>
    </row>
    <row r="75" spans="1:6" x14ac:dyDescent="0.35">
      <c r="A75" s="23">
        <v>6</v>
      </c>
      <c r="B75" s="24" t="s">
        <v>19</v>
      </c>
      <c r="C75" s="24" t="s">
        <v>119</v>
      </c>
      <c r="D75" s="24" t="s">
        <v>215</v>
      </c>
      <c r="E75" s="23">
        <v>15</v>
      </c>
      <c r="F75" s="24"/>
    </row>
    <row r="76" spans="1:6" x14ac:dyDescent="0.35">
      <c r="A76" s="23">
        <v>6</v>
      </c>
      <c r="B76" s="24" t="s">
        <v>19</v>
      </c>
      <c r="C76" s="24" t="s">
        <v>119</v>
      </c>
      <c r="D76" s="24" t="s">
        <v>216</v>
      </c>
      <c r="E76" s="23">
        <v>10</v>
      </c>
      <c r="F76" s="24"/>
    </row>
    <row r="77" spans="1:6" x14ac:dyDescent="0.35">
      <c r="A77" s="23">
        <v>6</v>
      </c>
      <c r="B77" s="24" t="s">
        <v>19</v>
      </c>
      <c r="C77" s="24" t="s">
        <v>119</v>
      </c>
      <c r="D77" s="24" t="s">
        <v>217</v>
      </c>
      <c r="E77" s="23">
        <v>5</v>
      </c>
      <c r="F77" s="24" t="s">
        <v>218</v>
      </c>
    </row>
    <row r="78" spans="1:6" x14ac:dyDescent="0.35">
      <c r="A78" s="23">
        <v>6</v>
      </c>
      <c r="B78" s="24" t="s">
        <v>19</v>
      </c>
      <c r="C78" s="24" t="s">
        <v>119</v>
      </c>
      <c r="D78" s="24" t="s">
        <v>219</v>
      </c>
      <c r="E78" s="23">
        <v>5</v>
      </c>
      <c r="F78" s="24" t="s">
        <v>154</v>
      </c>
    </row>
    <row r="79" spans="1:6" x14ac:dyDescent="0.35">
      <c r="A79" s="23">
        <v>6</v>
      </c>
      <c r="B79" s="24" t="s">
        <v>19</v>
      </c>
      <c r="C79" s="24" t="s">
        <v>128</v>
      </c>
      <c r="D79" s="24" t="s">
        <v>129</v>
      </c>
      <c r="E79" s="23">
        <v>15</v>
      </c>
      <c r="F79" s="24"/>
    </row>
    <row r="80" spans="1:6" x14ac:dyDescent="0.35">
      <c r="A80" s="23">
        <v>6</v>
      </c>
      <c r="B80" s="24" t="s">
        <v>19</v>
      </c>
      <c r="C80" s="24" t="s">
        <v>128</v>
      </c>
      <c r="D80" s="24" t="s">
        <v>220</v>
      </c>
      <c r="E80" s="23">
        <v>30</v>
      </c>
      <c r="F80" s="24"/>
    </row>
    <row r="81" spans="1:6" x14ac:dyDescent="0.35">
      <c r="A81" s="23">
        <v>6</v>
      </c>
      <c r="B81" s="24" t="s">
        <v>19</v>
      </c>
      <c r="C81" s="24" t="s">
        <v>128</v>
      </c>
      <c r="D81" s="24" t="s">
        <v>133</v>
      </c>
      <c r="E81" s="23">
        <v>45</v>
      </c>
      <c r="F81" s="24" t="s">
        <v>221</v>
      </c>
    </row>
    <row r="82" spans="1:6" x14ac:dyDescent="0.35">
      <c r="A82" s="23">
        <v>6</v>
      </c>
      <c r="B82" s="24" t="s">
        <v>19</v>
      </c>
      <c r="C82" s="24" t="s">
        <v>128</v>
      </c>
      <c r="D82" s="24" t="s">
        <v>222</v>
      </c>
      <c r="E82" s="23">
        <v>90</v>
      </c>
      <c r="F82" s="24" t="s">
        <v>223</v>
      </c>
    </row>
    <row r="83" spans="1:6" x14ac:dyDescent="0.35">
      <c r="A83" s="23">
        <v>6</v>
      </c>
      <c r="B83" s="24" t="s">
        <v>19</v>
      </c>
      <c r="C83" s="24" t="s">
        <v>137</v>
      </c>
      <c r="D83" s="24" t="s">
        <v>138</v>
      </c>
      <c r="E83" s="23">
        <v>15</v>
      </c>
      <c r="F83" s="24"/>
    </row>
    <row r="84" spans="1:6" x14ac:dyDescent="0.35">
      <c r="A84" s="23">
        <v>6</v>
      </c>
      <c r="B84" s="24" t="s">
        <v>19</v>
      </c>
      <c r="C84" s="24" t="s">
        <v>137</v>
      </c>
      <c r="D84" s="24" t="s">
        <v>224</v>
      </c>
      <c r="E84" s="23">
        <v>120</v>
      </c>
      <c r="F84" s="24" t="s">
        <v>225</v>
      </c>
    </row>
    <row r="85" spans="1:6" x14ac:dyDescent="0.35">
      <c r="A85" s="23">
        <v>6</v>
      </c>
      <c r="B85" s="24" t="s">
        <v>19</v>
      </c>
      <c r="C85" s="24" t="s">
        <v>137</v>
      </c>
      <c r="D85" s="24" t="s">
        <v>142</v>
      </c>
      <c r="E85" s="23">
        <v>45</v>
      </c>
      <c r="F85" s="24" t="s">
        <v>226</v>
      </c>
    </row>
    <row r="86" spans="1:6" ht="64" customHeight="1" x14ac:dyDescent="0.35">
      <c r="A86" s="23">
        <v>6</v>
      </c>
      <c r="B86" s="24" t="s">
        <v>19</v>
      </c>
      <c r="C86" s="24" t="s">
        <v>144</v>
      </c>
      <c r="D86" s="24" t="s">
        <v>227</v>
      </c>
      <c r="E86" s="24"/>
      <c r="F86" s="24"/>
    </row>
    <row r="87" spans="1:6" x14ac:dyDescent="0.35">
      <c r="A87" s="21">
        <v>7</v>
      </c>
      <c r="B87" s="22" t="s">
        <v>21</v>
      </c>
      <c r="C87" s="22" t="s">
        <v>116</v>
      </c>
      <c r="D87" s="22" t="s">
        <v>228</v>
      </c>
      <c r="E87" s="22"/>
      <c r="F87" s="22" t="s">
        <v>229</v>
      </c>
    </row>
    <row r="88" spans="1:6" x14ac:dyDescent="0.35">
      <c r="A88" s="23">
        <v>7</v>
      </c>
      <c r="B88" s="24" t="s">
        <v>21</v>
      </c>
      <c r="C88" s="24" t="s">
        <v>128</v>
      </c>
      <c r="D88" s="24" t="s">
        <v>230</v>
      </c>
      <c r="E88" s="23">
        <v>30</v>
      </c>
      <c r="F88" s="24"/>
    </row>
    <row r="89" spans="1:6" x14ac:dyDescent="0.35">
      <c r="A89" s="23">
        <v>7</v>
      </c>
      <c r="B89" s="24" t="s">
        <v>21</v>
      </c>
      <c r="C89" s="24" t="s">
        <v>128</v>
      </c>
      <c r="D89" s="24" t="s">
        <v>231</v>
      </c>
      <c r="E89" s="23">
        <v>120</v>
      </c>
      <c r="F89" s="24" t="s">
        <v>232</v>
      </c>
    </row>
    <row r="90" spans="1:6" x14ac:dyDescent="0.35">
      <c r="A90" s="23">
        <v>7</v>
      </c>
      <c r="B90" s="24" t="s">
        <v>21</v>
      </c>
      <c r="C90" s="24" t="s">
        <v>128</v>
      </c>
      <c r="D90" s="24" t="s">
        <v>233</v>
      </c>
      <c r="E90" s="23">
        <v>30</v>
      </c>
      <c r="F90" s="24" t="s">
        <v>234</v>
      </c>
    </row>
    <row r="91" spans="1:6" x14ac:dyDescent="0.35">
      <c r="A91" s="23">
        <v>7</v>
      </c>
      <c r="B91" s="24" t="s">
        <v>21</v>
      </c>
      <c r="C91" s="24" t="s">
        <v>235</v>
      </c>
      <c r="D91" s="24" t="s">
        <v>236</v>
      </c>
      <c r="E91" s="23">
        <v>50</v>
      </c>
      <c r="F91" s="24" t="s">
        <v>237</v>
      </c>
    </row>
    <row r="92" spans="1:6" x14ac:dyDescent="0.35">
      <c r="A92" s="23">
        <v>7</v>
      </c>
      <c r="B92" s="24" t="s">
        <v>21</v>
      </c>
      <c r="C92" s="24" t="s">
        <v>235</v>
      </c>
      <c r="D92" s="24" t="s">
        <v>238</v>
      </c>
      <c r="E92" s="23">
        <v>50</v>
      </c>
      <c r="F92" s="24" t="s">
        <v>239</v>
      </c>
    </row>
    <row r="93" spans="1:6" x14ac:dyDescent="0.35">
      <c r="A93" s="23">
        <v>7</v>
      </c>
      <c r="B93" s="24" t="s">
        <v>21</v>
      </c>
      <c r="C93" s="24" t="s">
        <v>235</v>
      </c>
      <c r="D93" s="24" t="s">
        <v>240</v>
      </c>
      <c r="E93" s="23">
        <v>45</v>
      </c>
      <c r="F93" s="24" t="s">
        <v>241</v>
      </c>
    </row>
    <row r="94" spans="1:6" x14ac:dyDescent="0.35">
      <c r="A94" s="23">
        <v>7</v>
      </c>
      <c r="B94" s="24" t="s">
        <v>21</v>
      </c>
      <c r="C94" s="24" t="s">
        <v>235</v>
      </c>
      <c r="D94" s="24" t="s">
        <v>242</v>
      </c>
      <c r="E94" s="23">
        <v>35</v>
      </c>
      <c r="F94" s="24" t="s">
        <v>243</v>
      </c>
    </row>
    <row r="95" spans="1:6" ht="64" customHeight="1" x14ac:dyDescent="0.35">
      <c r="A95" s="23">
        <v>7</v>
      </c>
      <c r="B95" s="24" t="s">
        <v>21</v>
      </c>
      <c r="C95" s="24" t="s">
        <v>244</v>
      </c>
      <c r="D95" s="24" t="s">
        <v>245</v>
      </c>
      <c r="E95" s="24"/>
      <c r="F95" s="24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6"/>
  <sheetViews>
    <sheetView workbookViewId="0">
      <pane ySplit="4" topLeftCell="A5" activePane="bottomLeft" state="frozen"/>
      <selection pane="bottomLeft"/>
    </sheetView>
  </sheetViews>
  <sheetFormatPr defaultRowHeight="14.5" x14ac:dyDescent="0.35"/>
  <cols>
    <col min="1" max="1" width="7" customWidth="1"/>
    <col min="2" max="2" width="24" customWidth="1"/>
    <col min="3" max="3" width="30" customWidth="1"/>
    <col min="4" max="4" width="44" customWidth="1"/>
    <col min="5" max="5" width="36" customWidth="1"/>
    <col min="6" max="6" width="44" customWidth="1"/>
    <col min="7" max="7" width="34" customWidth="1"/>
    <col min="8" max="8" width="22" customWidth="1"/>
  </cols>
  <sheetData>
    <row r="1" spans="1:8" ht="18" x14ac:dyDescent="0.4">
      <c r="A1" s="1" t="s">
        <v>246</v>
      </c>
    </row>
    <row r="2" spans="1:8" x14ac:dyDescent="0.35">
      <c r="A2" s="2" t="s">
        <v>247</v>
      </c>
    </row>
    <row r="4" spans="1:8" x14ac:dyDescent="0.35">
      <c r="A4" s="3" t="s">
        <v>2</v>
      </c>
      <c r="B4" s="3" t="s">
        <v>248</v>
      </c>
      <c r="C4" s="3" t="s">
        <v>5</v>
      </c>
      <c r="D4" s="3" t="s">
        <v>249</v>
      </c>
      <c r="E4" s="3" t="s">
        <v>250</v>
      </c>
      <c r="F4" s="3" t="s">
        <v>251</v>
      </c>
      <c r="G4" s="3" t="s">
        <v>144</v>
      </c>
      <c r="H4" s="3" t="s">
        <v>7</v>
      </c>
    </row>
    <row r="5" spans="1:8" ht="50" x14ac:dyDescent="0.35">
      <c r="A5" s="23">
        <v>8</v>
      </c>
      <c r="B5" s="24" t="s">
        <v>24</v>
      </c>
      <c r="C5" s="24" t="s">
        <v>25</v>
      </c>
      <c r="D5" s="24" t="s">
        <v>252</v>
      </c>
      <c r="E5" s="24" t="s">
        <v>253</v>
      </c>
      <c r="F5" s="24" t="s">
        <v>254</v>
      </c>
      <c r="G5" s="24" t="s">
        <v>255</v>
      </c>
      <c r="H5" s="24" t="s">
        <v>26</v>
      </c>
    </row>
    <row r="6" spans="1:8" ht="37.5" x14ac:dyDescent="0.35">
      <c r="A6" s="6">
        <v>9</v>
      </c>
      <c r="B6" s="7" t="s">
        <v>24</v>
      </c>
      <c r="C6" s="7" t="s">
        <v>27</v>
      </c>
      <c r="D6" s="7" t="s">
        <v>256</v>
      </c>
      <c r="E6" s="7" t="s">
        <v>257</v>
      </c>
      <c r="F6" s="7" t="s">
        <v>258</v>
      </c>
      <c r="G6" s="7" t="s">
        <v>259</v>
      </c>
      <c r="H6" s="7" t="s">
        <v>28</v>
      </c>
    </row>
    <row r="7" spans="1:8" ht="37.5" x14ac:dyDescent="0.35">
      <c r="A7" s="23">
        <v>10</v>
      </c>
      <c r="B7" s="24" t="s">
        <v>29</v>
      </c>
      <c r="C7" s="24" t="s">
        <v>30</v>
      </c>
      <c r="D7" s="24" t="s">
        <v>260</v>
      </c>
      <c r="E7" s="24" t="s">
        <v>261</v>
      </c>
      <c r="F7" s="24" t="s">
        <v>262</v>
      </c>
      <c r="G7" s="24" t="s">
        <v>263</v>
      </c>
      <c r="H7" s="24" t="s">
        <v>31</v>
      </c>
    </row>
    <row r="8" spans="1:8" ht="25" x14ac:dyDescent="0.35">
      <c r="A8" s="23">
        <v>11</v>
      </c>
      <c r="B8" s="24" t="s">
        <v>29</v>
      </c>
      <c r="C8" s="24" t="s">
        <v>32</v>
      </c>
      <c r="D8" s="24" t="s">
        <v>264</v>
      </c>
      <c r="E8" s="24" t="s">
        <v>265</v>
      </c>
      <c r="F8" s="24" t="s">
        <v>266</v>
      </c>
      <c r="G8" s="24" t="s">
        <v>267</v>
      </c>
      <c r="H8" s="24" t="s">
        <v>33</v>
      </c>
    </row>
    <row r="9" spans="1:8" ht="37.5" x14ac:dyDescent="0.35">
      <c r="A9" s="6">
        <v>12</v>
      </c>
      <c r="B9" s="7" t="s">
        <v>29</v>
      </c>
      <c r="C9" s="7" t="s">
        <v>34</v>
      </c>
      <c r="D9" s="7" t="s">
        <v>268</v>
      </c>
      <c r="E9" s="7" t="s">
        <v>269</v>
      </c>
      <c r="F9" s="7" t="s">
        <v>270</v>
      </c>
      <c r="G9" s="7" t="s">
        <v>271</v>
      </c>
      <c r="H9" s="7" t="s">
        <v>35</v>
      </c>
    </row>
    <row r="10" spans="1:8" ht="37.5" x14ac:dyDescent="0.35">
      <c r="A10" s="23">
        <v>13</v>
      </c>
      <c r="B10" s="24" t="s">
        <v>36</v>
      </c>
      <c r="C10" s="24" t="s">
        <v>37</v>
      </c>
      <c r="D10" s="24" t="s">
        <v>272</v>
      </c>
      <c r="E10" s="24" t="s">
        <v>273</v>
      </c>
      <c r="F10" s="24" t="s">
        <v>274</v>
      </c>
      <c r="G10" s="24" t="s">
        <v>275</v>
      </c>
      <c r="H10" s="24" t="s">
        <v>38</v>
      </c>
    </row>
    <row r="11" spans="1:8" ht="25" x14ac:dyDescent="0.35">
      <c r="A11" s="23">
        <v>14</v>
      </c>
      <c r="B11" s="24" t="s">
        <v>36</v>
      </c>
      <c r="C11" s="24" t="s">
        <v>39</v>
      </c>
      <c r="D11" s="24" t="s">
        <v>276</v>
      </c>
      <c r="E11" s="24" t="s">
        <v>277</v>
      </c>
      <c r="F11" s="24" t="s">
        <v>278</v>
      </c>
      <c r="G11" s="24" t="s">
        <v>279</v>
      </c>
      <c r="H11" s="24" t="s">
        <v>40</v>
      </c>
    </row>
    <row r="12" spans="1:8" ht="25" x14ac:dyDescent="0.35">
      <c r="A12" s="23">
        <v>15</v>
      </c>
      <c r="B12" s="24" t="s">
        <v>36</v>
      </c>
      <c r="C12" s="24" t="s">
        <v>41</v>
      </c>
      <c r="D12" s="24" t="s">
        <v>280</v>
      </c>
      <c r="E12" s="24" t="s">
        <v>281</v>
      </c>
      <c r="F12" s="24" t="s">
        <v>282</v>
      </c>
      <c r="G12" s="24" t="s">
        <v>283</v>
      </c>
      <c r="H12" s="24" t="s">
        <v>42</v>
      </c>
    </row>
    <row r="13" spans="1:8" ht="25" x14ac:dyDescent="0.35">
      <c r="A13" s="6">
        <v>16</v>
      </c>
      <c r="B13" s="7" t="s">
        <v>36</v>
      </c>
      <c r="C13" s="7" t="s">
        <v>43</v>
      </c>
      <c r="D13" s="7" t="s">
        <v>284</v>
      </c>
      <c r="E13" s="7" t="s">
        <v>285</v>
      </c>
      <c r="F13" s="7" t="s">
        <v>286</v>
      </c>
      <c r="G13" s="7" t="s">
        <v>287</v>
      </c>
      <c r="H13" s="7" t="s">
        <v>44</v>
      </c>
    </row>
    <row r="14" spans="1:8" ht="37.5" x14ac:dyDescent="0.35">
      <c r="A14" s="23">
        <v>17</v>
      </c>
      <c r="B14" s="24" t="s">
        <v>45</v>
      </c>
      <c r="C14" s="24" t="s">
        <v>46</v>
      </c>
      <c r="D14" s="24" t="s">
        <v>288</v>
      </c>
      <c r="E14" s="24" t="s">
        <v>289</v>
      </c>
      <c r="F14" s="24" t="s">
        <v>290</v>
      </c>
      <c r="G14" s="24" t="s">
        <v>291</v>
      </c>
      <c r="H14" s="24" t="s">
        <v>47</v>
      </c>
    </row>
    <row r="15" spans="1:8" ht="37.5" x14ac:dyDescent="0.35">
      <c r="A15" s="23">
        <v>18</v>
      </c>
      <c r="B15" s="24" t="s">
        <v>45</v>
      </c>
      <c r="C15" s="24" t="s">
        <v>48</v>
      </c>
      <c r="D15" s="24" t="s">
        <v>292</v>
      </c>
      <c r="E15" s="24" t="s">
        <v>293</v>
      </c>
      <c r="F15" s="24" t="s">
        <v>294</v>
      </c>
      <c r="G15" s="24" t="s">
        <v>295</v>
      </c>
      <c r="H15" s="24" t="s">
        <v>49</v>
      </c>
    </row>
    <row r="16" spans="1:8" ht="37.5" x14ac:dyDescent="0.35">
      <c r="A16" s="6">
        <v>19</v>
      </c>
      <c r="B16" s="7" t="s">
        <v>45</v>
      </c>
      <c r="C16" s="7" t="s">
        <v>50</v>
      </c>
      <c r="D16" s="7" t="s">
        <v>296</v>
      </c>
      <c r="E16" s="7" t="s">
        <v>297</v>
      </c>
      <c r="F16" s="7" t="s">
        <v>298</v>
      </c>
      <c r="G16" s="7" t="s">
        <v>299</v>
      </c>
      <c r="H16" s="7" t="s">
        <v>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"/>
  <sheetViews>
    <sheetView workbookViewId="0">
      <pane ySplit="4" topLeftCell="A5" activePane="bottomLeft" state="frozen"/>
      <selection pane="bottomLeft"/>
    </sheetView>
  </sheetViews>
  <sheetFormatPr defaultRowHeight="14.5" x14ac:dyDescent="0.35"/>
  <cols>
    <col min="1" max="1" width="7" customWidth="1"/>
    <col min="2" max="2" width="30" customWidth="1"/>
    <col min="3" max="3" width="60" customWidth="1"/>
    <col min="4" max="4" width="44" customWidth="1"/>
    <col min="5" max="5" width="24" customWidth="1"/>
  </cols>
  <sheetData>
    <row r="1" spans="1:5" ht="18" x14ac:dyDescent="0.4">
      <c r="A1" s="1" t="s">
        <v>300</v>
      </c>
    </row>
    <row r="2" spans="1:5" x14ac:dyDescent="0.35">
      <c r="A2" s="2" t="s">
        <v>301</v>
      </c>
    </row>
    <row r="4" spans="1:5" x14ac:dyDescent="0.35">
      <c r="A4" s="3" t="s">
        <v>2</v>
      </c>
      <c r="B4" s="3" t="s">
        <v>302</v>
      </c>
      <c r="C4" s="3" t="s">
        <v>303</v>
      </c>
      <c r="D4" s="3" t="s">
        <v>144</v>
      </c>
      <c r="E4" s="3" t="s">
        <v>7</v>
      </c>
    </row>
    <row r="5" spans="1:5" ht="25" x14ac:dyDescent="0.35">
      <c r="A5" s="23">
        <v>20</v>
      </c>
      <c r="B5" s="24" t="s">
        <v>53</v>
      </c>
      <c r="C5" s="24" t="s">
        <v>304</v>
      </c>
      <c r="D5" s="24" t="s">
        <v>305</v>
      </c>
      <c r="E5" s="24" t="s">
        <v>55</v>
      </c>
    </row>
    <row r="6" spans="1:5" x14ac:dyDescent="0.35">
      <c r="A6" s="23">
        <v>21</v>
      </c>
      <c r="B6" s="24" t="s">
        <v>56</v>
      </c>
      <c r="C6" s="24" t="s">
        <v>306</v>
      </c>
      <c r="D6" s="24" t="s">
        <v>307</v>
      </c>
      <c r="E6" s="24" t="s">
        <v>58</v>
      </c>
    </row>
    <row r="7" spans="1:5" x14ac:dyDescent="0.35">
      <c r="A7" s="23">
        <v>22</v>
      </c>
      <c r="B7" s="24" t="s">
        <v>59</v>
      </c>
      <c r="C7" s="24" t="s">
        <v>308</v>
      </c>
      <c r="D7" s="24" t="s">
        <v>309</v>
      </c>
      <c r="E7" s="24" t="s">
        <v>61</v>
      </c>
    </row>
    <row r="8" spans="1:5" x14ac:dyDescent="0.35">
      <c r="A8" s="23">
        <v>23</v>
      </c>
      <c r="B8" s="24" t="s">
        <v>62</v>
      </c>
      <c r="C8" s="24" t="s">
        <v>63</v>
      </c>
      <c r="D8" s="24" t="s">
        <v>310</v>
      </c>
      <c r="E8" s="24" t="s">
        <v>64</v>
      </c>
    </row>
    <row r="9" spans="1:5" ht="25" x14ac:dyDescent="0.35">
      <c r="A9" s="23">
        <v>24</v>
      </c>
      <c r="B9" s="24" t="s">
        <v>65</v>
      </c>
      <c r="C9" s="24" t="s">
        <v>311</v>
      </c>
      <c r="D9" s="24" t="s">
        <v>312</v>
      </c>
      <c r="E9" s="24" t="s">
        <v>67</v>
      </c>
    </row>
    <row r="10" spans="1:5" ht="25" x14ac:dyDescent="0.35">
      <c r="A10" s="23">
        <v>25</v>
      </c>
      <c r="B10" s="24" t="s">
        <v>68</v>
      </c>
      <c r="C10" s="24" t="s">
        <v>313</v>
      </c>
      <c r="D10" s="24" t="s">
        <v>314</v>
      </c>
      <c r="E10" s="24" t="s">
        <v>67</v>
      </c>
    </row>
    <row r="11" spans="1:5" ht="25" x14ac:dyDescent="0.35">
      <c r="A11" s="8">
        <v>26</v>
      </c>
      <c r="B11" s="9" t="s">
        <v>70</v>
      </c>
      <c r="C11" s="9" t="s">
        <v>315</v>
      </c>
      <c r="D11" s="9" t="s">
        <v>316</v>
      </c>
      <c r="E11" s="9" t="s">
        <v>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1"/>
  <sheetViews>
    <sheetView workbookViewId="0">
      <pane ySplit="4" topLeftCell="A5" activePane="bottomLeft" state="frozen"/>
      <selection pane="bottomLeft"/>
    </sheetView>
  </sheetViews>
  <sheetFormatPr defaultRowHeight="14.5" x14ac:dyDescent="0.35"/>
  <cols>
    <col min="1" max="1" width="7" customWidth="1"/>
    <col min="2" max="2" width="14" customWidth="1"/>
    <col min="3" max="3" width="40" customWidth="1"/>
    <col min="4" max="4" width="36" customWidth="1"/>
  </cols>
  <sheetData>
    <row r="1" spans="1:4" ht="18" x14ac:dyDescent="0.4">
      <c r="A1" s="1" t="s">
        <v>317</v>
      </c>
    </row>
    <row r="2" spans="1:4" x14ac:dyDescent="0.35">
      <c r="A2" s="2" t="s">
        <v>318</v>
      </c>
    </row>
    <row r="4" spans="1:4" x14ac:dyDescent="0.35">
      <c r="A4" s="3" t="s">
        <v>319</v>
      </c>
      <c r="B4" s="3" t="s">
        <v>320</v>
      </c>
      <c r="C4" s="3" t="s">
        <v>321</v>
      </c>
      <c r="D4" s="3" t="s">
        <v>322</v>
      </c>
    </row>
    <row r="5" spans="1:4" x14ac:dyDescent="0.35">
      <c r="A5" s="4">
        <v>1</v>
      </c>
      <c r="B5" s="5" t="s">
        <v>323</v>
      </c>
      <c r="C5" s="5" t="s">
        <v>324</v>
      </c>
      <c r="D5" s="5" t="s">
        <v>325</v>
      </c>
    </row>
    <row r="6" spans="1:4" x14ac:dyDescent="0.35">
      <c r="A6" s="4">
        <v>2</v>
      </c>
      <c r="B6" s="5" t="s">
        <v>323</v>
      </c>
      <c r="C6" s="5" t="s">
        <v>326</v>
      </c>
      <c r="D6" s="5" t="s">
        <v>325</v>
      </c>
    </row>
    <row r="7" spans="1:4" x14ac:dyDescent="0.35">
      <c r="A7" s="4">
        <v>3</v>
      </c>
      <c r="B7" s="5" t="s">
        <v>323</v>
      </c>
      <c r="C7" s="5" t="s">
        <v>327</v>
      </c>
      <c r="D7" s="5" t="s">
        <v>328</v>
      </c>
    </row>
    <row r="8" spans="1:4" x14ac:dyDescent="0.35">
      <c r="A8" s="4">
        <v>4</v>
      </c>
      <c r="B8" s="5" t="s">
        <v>323</v>
      </c>
      <c r="C8" s="5" t="s">
        <v>329</v>
      </c>
      <c r="D8" s="5" t="s">
        <v>328</v>
      </c>
    </row>
    <row r="9" spans="1:4" x14ac:dyDescent="0.35">
      <c r="A9" s="4">
        <v>5</v>
      </c>
      <c r="B9" s="5" t="s">
        <v>323</v>
      </c>
      <c r="C9" s="5" t="s">
        <v>330</v>
      </c>
      <c r="D9" s="5" t="s">
        <v>331</v>
      </c>
    </row>
    <row r="10" spans="1:4" x14ac:dyDescent="0.35">
      <c r="A10" s="4">
        <v>6</v>
      </c>
      <c r="B10" s="5" t="s">
        <v>323</v>
      </c>
      <c r="C10" s="5" t="s">
        <v>332</v>
      </c>
      <c r="D10" s="5" t="s">
        <v>333</v>
      </c>
    </row>
    <row r="11" spans="1:4" x14ac:dyDescent="0.35">
      <c r="A11" s="4">
        <v>7</v>
      </c>
      <c r="B11" s="5" t="s">
        <v>323</v>
      </c>
      <c r="C11" s="5" t="s">
        <v>334</v>
      </c>
      <c r="D11" s="5" t="s">
        <v>335</v>
      </c>
    </row>
    <row r="12" spans="1:4" x14ac:dyDescent="0.35">
      <c r="A12" s="4">
        <v>8</v>
      </c>
      <c r="B12" s="5" t="s">
        <v>323</v>
      </c>
      <c r="C12" s="5" t="s">
        <v>336</v>
      </c>
      <c r="D12" s="5" t="s">
        <v>337</v>
      </c>
    </row>
    <row r="13" spans="1:4" x14ac:dyDescent="0.35">
      <c r="A13" s="4">
        <v>9</v>
      </c>
      <c r="B13" s="5" t="s">
        <v>323</v>
      </c>
      <c r="C13" s="5" t="s">
        <v>338</v>
      </c>
      <c r="D13" s="5" t="s">
        <v>339</v>
      </c>
    </row>
    <row r="14" spans="1:4" x14ac:dyDescent="0.35">
      <c r="A14" s="4">
        <v>10</v>
      </c>
      <c r="B14" s="5" t="s">
        <v>323</v>
      </c>
      <c r="C14" s="5" t="s">
        <v>340</v>
      </c>
      <c r="D14" s="5" t="s">
        <v>341</v>
      </c>
    </row>
    <row r="15" spans="1:4" x14ac:dyDescent="0.35">
      <c r="A15" s="6">
        <v>11</v>
      </c>
      <c r="B15" s="7" t="s">
        <v>342</v>
      </c>
      <c r="C15" s="7" t="s">
        <v>343</v>
      </c>
      <c r="D15" s="7" t="s">
        <v>344</v>
      </c>
    </row>
    <row r="16" spans="1:4" x14ac:dyDescent="0.35">
      <c r="A16" s="6">
        <v>12</v>
      </c>
      <c r="B16" s="7" t="s">
        <v>342</v>
      </c>
      <c r="C16" s="7" t="s">
        <v>345</v>
      </c>
      <c r="D16" s="7" t="s">
        <v>344</v>
      </c>
    </row>
    <row r="17" spans="1:4" x14ac:dyDescent="0.35">
      <c r="A17" s="6">
        <v>13</v>
      </c>
      <c r="B17" s="7" t="s">
        <v>342</v>
      </c>
      <c r="C17" s="7" t="s">
        <v>346</v>
      </c>
      <c r="D17" s="7" t="s">
        <v>347</v>
      </c>
    </row>
    <row r="18" spans="1:4" x14ac:dyDescent="0.35">
      <c r="A18" s="6">
        <v>14</v>
      </c>
      <c r="B18" s="7" t="s">
        <v>348</v>
      </c>
      <c r="C18" s="7" t="s">
        <v>349</v>
      </c>
      <c r="D18" s="7" t="s">
        <v>350</v>
      </c>
    </row>
    <row r="19" spans="1:4" x14ac:dyDescent="0.35">
      <c r="A19" s="6">
        <v>15</v>
      </c>
      <c r="B19" s="7" t="s">
        <v>348</v>
      </c>
      <c r="C19" s="7" t="s">
        <v>351</v>
      </c>
      <c r="D19" s="7" t="s">
        <v>352</v>
      </c>
    </row>
    <row r="20" spans="1:4" x14ac:dyDescent="0.35">
      <c r="A20" s="6">
        <v>16</v>
      </c>
      <c r="B20" s="7" t="s">
        <v>348</v>
      </c>
      <c r="C20" s="7" t="s">
        <v>353</v>
      </c>
      <c r="D20" s="7" t="s">
        <v>354</v>
      </c>
    </row>
    <row r="21" spans="1:4" x14ac:dyDescent="0.35">
      <c r="A21" s="6">
        <v>17</v>
      </c>
      <c r="B21" s="7" t="s">
        <v>348</v>
      </c>
      <c r="C21" s="7" t="s">
        <v>355</v>
      </c>
      <c r="D21" s="7" t="s">
        <v>356</v>
      </c>
    </row>
    <row r="22" spans="1:4" x14ac:dyDescent="0.35">
      <c r="A22" s="6">
        <v>18</v>
      </c>
      <c r="B22" s="7" t="s">
        <v>357</v>
      </c>
      <c r="C22" s="7" t="s">
        <v>358</v>
      </c>
      <c r="D22" s="7" t="s">
        <v>359</v>
      </c>
    </row>
    <row r="23" spans="1:4" x14ac:dyDescent="0.35">
      <c r="A23" s="6">
        <v>19</v>
      </c>
      <c r="B23" s="7" t="s">
        <v>357</v>
      </c>
      <c r="C23" s="7" t="s">
        <v>360</v>
      </c>
      <c r="D23" s="7" t="s">
        <v>361</v>
      </c>
    </row>
    <row r="24" spans="1:4" x14ac:dyDescent="0.35">
      <c r="A24" s="6">
        <v>20</v>
      </c>
      <c r="B24" s="7" t="s">
        <v>357</v>
      </c>
      <c r="C24" s="7" t="s">
        <v>362</v>
      </c>
      <c r="D24" s="7" t="s">
        <v>363</v>
      </c>
    </row>
    <row r="25" spans="1:4" x14ac:dyDescent="0.35">
      <c r="A25" s="6">
        <v>21</v>
      </c>
      <c r="B25" s="7" t="s">
        <v>357</v>
      </c>
      <c r="C25" s="7" t="s">
        <v>364</v>
      </c>
      <c r="D25" s="7" t="s">
        <v>365</v>
      </c>
    </row>
    <row r="26" spans="1:4" x14ac:dyDescent="0.35">
      <c r="A26" s="6">
        <v>22</v>
      </c>
      <c r="B26" s="7" t="s">
        <v>357</v>
      </c>
      <c r="C26" s="7" t="s">
        <v>366</v>
      </c>
      <c r="D26" s="7" t="s">
        <v>365</v>
      </c>
    </row>
    <row r="27" spans="1:4" x14ac:dyDescent="0.35">
      <c r="A27" s="6">
        <v>23</v>
      </c>
      <c r="B27" s="7" t="s">
        <v>357</v>
      </c>
      <c r="C27" s="7" t="s">
        <v>367</v>
      </c>
      <c r="D27" s="7" t="s">
        <v>368</v>
      </c>
    </row>
    <row r="28" spans="1:4" x14ac:dyDescent="0.35">
      <c r="A28" s="6">
        <v>24</v>
      </c>
      <c r="B28" s="7" t="s">
        <v>369</v>
      </c>
      <c r="C28" s="7" t="s">
        <v>370</v>
      </c>
      <c r="D28" s="7" t="s">
        <v>371</v>
      </c>
    </row>
    <row r="29" spans="1:4" x14ac:dyDescent="0.35">
      <c r="A29" s="6">
        <v>25</v>
      </c>
      <c r="B29" s="7" t="s">
        <v>369</v>
      </c>
      <c r="C29" s="7" t="s">
        <v>372</v>
      </c>
      <c r="D29" s="7" t="s">
        <v>371</v>
      </c>
    </row>
    <row r="30" spans="1:4" x14ac:dyDescent="0.35">
      <c r="A30" s="6">
        <v>26</v>
      </c>
      <c r="B30" s="7" t="s">
        <v>369</v>
      </c>
      <c r="C30" s="7" t="s">
        <v>373</v>
      </c>
      <c r="D30" s="7" t="s">
        <v>374</v>
      </c>
    </row>
    <row r="31" spans="1:4" x14ac:dyDescent="0.35">
      <c r="A31" s="6">
        <v>27</v>
      </c>
      <c r="B31" s="7" t="s">
        <v>369</v>
      </c>
      <c r="C31" s="7" t="s">
        <v>375</v>
      </c>
      <c r="D31" s="7" t="s">
        <v>376</v>
      </c>
    </row>
    <row r="32" spans="1:4" x14ac:dyDescent="0.35">
      <c r="A32" s="6">
        <v>28</v>
      </c>
      <c r="B32" s="7" t="s">
        <v>369</v>
      </c>
      <c r="C32" s="7" t="s">
        <v>377</v>
      </c>
      <c r="D32" s="7" t="s">
        <v>378</v>
      </c>
    </row>
    <row r="33" spans="1:4" x14ac:dyDescent="0.35">
      <c r="A33" s="8">
        <v>29</v>
      </c>
      <c r="B33" s="9" t="s">
        <v>379</v>
      </c>
      <c r="C33" s="9" t="s">
        <v>380</v>
      </c>
      <c r="D33" s="9" t="s">
        <v>381</v>
      </c>
    </row>
    <row r="34" spans="1:4" x14ac:dyDescent="0.35">
      <c r="A34" s="8">
        <v>30</v>
      </c>
      <c r="B34" s="9" t="s">
        <v>379</v>
      </c>
      <c r="C34" s="9" t="s">
        <v>382</v>
      </c>
      <c r="D34" s="9" t="s">
        <v>383</v>
      </c>
    </row>
    <row r="35" spans="1:4" x14ac:dyDescent="0.35">
      <c r="A35" s="8">
        <v>31</v>
      </c>
      <c r="B35" s="9" t="s">
        <v>379</v>
      </c>
      <c r="C35" s="9" t="s">
        <v>384</v>
      </c>
      <c r="D35" s="9" t="s">
        <v>385</v>
      </c>
    </row>
    <row r="36" spans="1:4" x14ac:dyDescent="0.35">
      <c r="A36" s="8">
        <v>32</v>
      </c>
      <c r="B36" s="9" t="s">
        <v>379</v>
      </c>
      <c r="C36" s="9" t="s">
        <v>386</v>
      </c>
      <c r="D36" s="9" t="s">
        <v>387</v>
      </c>
    </row>
    <row r="37" spans="1:4" x14ac:dyDescent="0.35">
      <c r="A37" s="8">
        <v>33</v>
      </c>
      <c r="B37" s="9" t="s">
        <v>379</v>
      </c>
      <c r="C37" s="9" t="s">
        <v>388</v>
      </c>
      <c r="D37" s="9" t="s">
        <v>389</v>
      </c>
    </row>
    <row r="38" spans="1:4" x14ac:dyDescent="0.35">
      <c r="A38" s="8">
        <v>34</v>
      </c>
      <c r="B38" s="9" t="s">
        <v>390</v>
      </c>
      <c r="C38" s="9" t="s">
        <v>391</v>
      </c>
      <c r="D38" s="9" t="s">
        <v>392</v>
      </c>
    </row>
    <row r="39" spans="1:4" x14ac:dyDescent="0.35">
      <c r="A39" s="8">
        <v>35</v>
      </c>
      <c r="B39" s="9" t="s">
        <v>390</v>
      </c>
      <c r="C39" s="9" t="s">
        <v>393</v>
      </c>
      <c r="D39" s="9" t="s">
        <v>392</v>
      </c>
    </row>
    <row r="40" spans="1:4" x14ac:dyDescent="0.35">
      <c r="A40" s="8">
        <v>36</v>
      </c>
      <c r="B40" s="9" t="s">
        <v>390</v>
      </c>
      <c r="C40" s="9" t="s">
        <v>394</v>
      </c>
      <c r="D40" s="9" t="s">
        <v>395</v>
      </c>
    </row>
    <row r="41" spans="1:4" x14ac:dyDescent="0.35">
      <c r="A41" s="8">
        <v>37</v>
      </c>
      <c r="B41" s="9" t="s">
        <v>390</v>
      </c>
      <c r="C41" s="9" t="s">
        <v>396</v>
      </c>
      <c r="D41" s="9" t="s">
        <v>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Tổng quan 26 tuần</vt:lpstr>
      <vt:lpstr>Thống kê thời lượng</vt:lpstr>
      <vt:lpstr>GĐ1 - Fullstack (7 tuần)</vt:lpstr>
      <vt:lpstr>GĐ2 - AI SDLC (12 tuần)</vt:lpstr>
      <vt:lpstr>GĐ3 - Capstone &amp; OJT (7 tuần)</vt:lpstr>
      <vt:lpstr>So sánh cũ - mới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Phuoc</cp:lastModifiedBy>
  <dcterms:created xsi:type="dcterms:W3CDTF">2026-10-30T07:49:38Z</dcterms:created>
  <dcterms:modified xsi:type="dcterms:W3CDTF">2026-10-30T07:49:55Z</dcterms:modified>
</cp:coreProperties>
</file>